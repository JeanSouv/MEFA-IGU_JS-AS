
<file path=[Content_Types].xml><?xml version="1.0" encoding="utf-8"?>
<Types xmlns="http://schemas.openxmlformats.org/package/2006/content-types">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comments1.xml" ContentType="application/vnd.openxmlformats-officedocument.spreadsheetml.comments+xml"/>
  <Override PartName="/xl/printerSettings/printerSettings3.bin" ContentType="application/vnd.openxmlformats-officedocument.spreadsheetml.printerSettings"/>
  <Override PartName="/xl/comments2.xml" ContentType="application/vnd.openxmlformats-officedocument.spreadsheetml.comments+xml"/>
  <Override PartName="/xl/printerSettings/printerSettings4.bin" ContentType="application/vnd.openxmlformats-officedocument.spreadsheetml.printerSettings"/>
  <Override PartName="/xl/comments3.xml" ContentType="application/vnd.openxmlformats-officedocument.spreadsheetml.comments+xml"/>
  <Override PartName="/xl/printerSettings/printerSettings5.bin" ContentType="application/vnd.openxmlformats-officedocument.spreadsheetml.printerSettings"/>
  <Override PartName="/xl/comments4.xml" ContentType="application/vnd.openxmlformats-officedocument.spreadsheetml.comments+xml"/>
  <Override PartName="/xl/printerSettings/printerSettings6.bin" ContentType="application/vnd.openxmlformats-officedocument.spreadsheetml.printerSettings"/>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rinterSettings/printerSettings7.bin" ContentType="application/vnd.openxmlformats-officedocument.spreadsheetml.printerSettings"/>
  <Override PartName="/xl/comments8.xml" ContentType="application/vnd.openxmlformats-officedocument.spreadsheetml.comments+xml"/>
  <Override PartName="/xl/printerSettings/printerSettings8.bin" ContentType="application/vnd.openxmlformats-officedocument.spreadsheetml.printerSettings"/>
  <Override PartName="/xl/comments9.xml" ContentType="application/vnd.openxmlformats-officedocument.spreadsheetml.comments+xml"/>
  <Override PartName="/xl/printerSettings/printerSettings9.bin" ContentType="application/vnd.openxmlformats-officedocument.spreadsheetml.printerSettings"/>
  <Override PartName="/xl/comments10.xml" ContentType="application/vnd.openxmlformats-officedocument.spreadsheetml.comments+xml"/>
  <Override PartName="/xl/printerSettings/printerSettings10.bin" ContentType="application/vnd.openxmlformats-officedocument.spreadsheetml.printerSettings"/>
  <Override PartName="/xl/comments11.xml" ContentType="application/vnd.openxmlformats-officedocument.spreadsheetml.comments+xml"/>
  <Override PartName="/xl/comments12.xml" ContentType="application/vnd.openxmlformats-officedocument.spreadsheetml.comments+xml"/>
  <Override PartName="/xl/printerSettings/printerSettings11.bin" ContentType="application/vnd.openxmlformats-officedocument.spreadsheetml.printerSettings"/>
  <Override PartName="/xl/comments13.xml" ContentType="application/vnd.openxmlformats-officedocument.spreadsheetml.comments+xml"/>
  <Override PartName="/xl/printerSettings/printerSettings12.bin" ContentType="application/vnd.openxmlformats-officedocument.spreadsheetml.printerSettings"/>
  <Override PartName="/xl/comments14.xml" ContentType="application/vnd.openxmlformats-officedocument.spreadsheetml.comments+xml"/>
  <Override PartName="/xl/printerSettings/printerSettings13.bin" ContentType="application/vnd.openxmlformats-officedocument.spreadsheetml.printerSettings"/>
  <Override PartName="/xl/comments15.xml" ContentType="application/vnd.openxmlformats-officedocument.spreadsheetml.comments+xml"/>
  <Override PartName="/xl/printerSettings/printerSettings14.bin" ContentType="application/vnd.openxmlformats-officedocument.spreadsheetml.printerSettings"/>
  <Override PartName="/xl/comments16.xml" ContentType="application/vnd.openxmlformats-officedocument.spreadsheetml.comments+xml"/>
  <Override PartName="/xl/printerSettings/printerSettings15.bin" ContentType="application/vnd.openxmlformats-officedocument.spreadsheetml.printerSettings"/>
  <Override PartName="/xl/comments17.xml" ContentType="application/vnd.openxmlformats-officedocument.spreadsheetml.comments+xml"/>
  <Override PartName="/xl/printerSettings/printerSettings16.bin" ContentType="application/vnd.openxmlformats-officedocument.spreadsheetml.printerSettings"/>
  <Override PartName="/xl/comments18.xml" ContentType="application/vnd.openxmlformats-officedocument.spreadsheetml.comments+xml"/>
  <Override PartName="/xl/printerSettings/printerSettings17.bin" ContentType="application/vnd.openxmlformats-officedocument.spreadsheetml.printerSettings"/>
  <Override PartName="/xl/comments19.xml" ContentType="application/vnd.openxmlformats-officedocument.spreadsheetml.comments+xml"/>
  <Override PartName="/xl/printerSettings/printerSettings18.bin" ContentType="application/vnd.openxmlformats-officedocument.spreadsheetml.printerSettings"/>
  <Override PartName="/xl/comments20.xml" ContentType="application/vnd.openxmlformats-officedocument.spreadsheetml.comments+xml"/>
  <Override PartName="/xl/printerSettings/printerSettings19.bin" ContentType="application/vnd.openxmlformats-officedocument.spreadsheetml.printerSettings"/>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uvi\Documents\Recherche\Papers\2025_MEFA of IGU\Python_MFA_IGU\RawData\"/>
    </mc:Choice>
  </mc:AlternateContent>
  <bookViews>
    <workbookView xWindow="-120" yWindow="-120" windowWidth="38640" windowHeight="21840" tabRatio="681" firstSheet="13" activeTab="22"/>
  </bookViews>
  <sheets>
    <sheet name="CoverSheet" sheetId="29" r:id="rId1"/>
    <sheet name="References" sheetId="26" r:id="rId2"/>
    <sheet name="Stock_EU" sheetId="38" r:id="rId3"/>
    <sheet name="Prod_EU" sheetId="39" r:id="rId4"/>
    <sheet name="Import_EU" sheetId="40" r:id="rId5"/>
    <sheet name="Export_EU" sheetId="41" r:id="rId6"/>
    <sheet name="Thickness_EU" sheetId="42" r:id="rId7"/>
    <sheet name="CO2Emissions_EU" sheetId="43" r:id="rId8"/>
    <sheet name="Energy_Intensity_EU" sheetId="44" r:id="rId9"/>
    <sheet name="Consumption_FR" sheetId="28" r:id="rId10"/>
    <sheet name="Prod_FR" sheetId="15" r:id="rId11"/>
    <sheet name="Import_FR" sheetId="14" r:id="rId12"/>
    <sheet name="Export_FR" sheetId="12" r:id="rId13"/>
    <sheet name="Population_FR" sheetId="23" r:id="rId14"/>
    <sheet name="Thickness_FR" sheetId="27" r:id="rId15"/>
    <sheet name="RawMat_Intensity_FR" sheetId="21" r:id="rId16"/>
    <sheet name="Energy_Intensity_FR" sheetId="22" r:id="rId17"/>
    <sheet name="CO2Emissions_FR" sheetId="13" r:id="rId18"/>
    <sheet name="Consumption_BE" sheetId="30" r:id="rId19"/>
    <sheet name="Prod_BE" sheetId="31" r:id="rId20"/>
    <sheet name="Import_BE" sheetId="32" r:id="rId21"/>
    <sheet name="Export_BE" sheetId="33" r:id="rId22"/>
    <sheet name="Thickness_BE" sheetId="34" r:id="rId23"/>
    <sheet name="Energy_Intensity_BE" sheetId="35" r:id="rId24"/>
    <sheet name="Population_BE" sheetId="36" r:id="rId2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8" i="44" l="1"/>
  <c r="C38" i="44"/>
  <c r="B38" i="44"/>
  <c r="D37" i="44"/>
  <c r="C37" i="44"/>
  <c r="B37" i="44"/>
  <c r="D35" i="44"/>
  <c r="C35" i="44"/>
  <c r="B35" i="44"/>
  <c r="D34" i="44"/>
  <c r="C34" i="44"/>
  <c r="B34" i="44"/>
  <c r="D33" i="44"/>
  <c r="C33" i="44"/>
  <c r="B33" i="44"/>
  <c r="D32" i="44"/>
  <c r="C32" i="44"/>
  <c r="B32" i="44"/>
  <c r="D31" i="44"/>
  <c r="C31" i="44"/>
  <c r="B31" i="44"/>
  <c r="D30" i="44"/>
  <c r="C30" i="44"/>
  <c r="B30" i="44"/>
  <c r="D27" i="44"/>
  <c r="C27" i="44"/>
  <c r="B27" i="44"/>
  <c r="E78" i="42"/>
  <c r="D78" i="42"/>
  <c r="C78" i="42"/>
  <c r="E64" i="42"/>
  <c r="D64" i="42"/>
  <c r="E12" i="42"/>
  <c r="D12" i="42"/>
  <c r="C12" i="42"/>
  <c r="E4" i="42"/>
  <c r="D4" i="42"/>
  <c r="C4" i="42"/>
  <c r="C12" i="39"/>
  <c r="C72" i="38"/>
  <c r="C65" i="38"/>
  <c r="C62" i="38"/>
  <c r="C52" i="38"/>
  <c r="C42" i="38"/>
  <c r="C32" i="38"/>
  <c r="C22" i="38"/>
  <c r="C12" i="38"/>
  <c r="C6" i="38"/>
  <c r="C5" i="38"/>
  <c r="C4" i="38"/>
  <c r="C3" i="38"/>
  <c r="D2" i="38"/>
  <c r="C2" i="38"/>
  <c r="D45" i="35"/>
  <c r="C45" i="35"/>
  <c r="B45" i="35"/>
  <c r="D42" i="35"/>
  <c r="C42" i="35"/>
  <c r="B42" i="35"/>
  <c r="D37" i="35"/>
  <c r="C37" i="35"/>
  <c r="B37" i="35"/>
  <c r="D32" i="35"/>
  <c r="C32" i="35"/>
  <c r="B32" i="35"/>
  <c r="D27" i="35"/>
  <c r="C27" i="35"/>
  <c r="B27" i="35"/>
  <c r="D22" i="35"/>
  <c r="C22" i="35"/>
  <c r="B22" i="35"/>
  <c r="D17" i="35"/>
  <c r="C17" i="35"/>
  <c r="B17" i="35"/>
  <c r="E7" i="35"/>
  <c r="D77" i="34"/>
  <c r="C77" i="34"/>
  <c r="B77" i="34"/>
  <c r="D62" i="34"/>
  <c r="C62" i="34"/>
  <c r="D12" i="34"/>
  <c r="C12" i="34"/>
  <c r="B12" i="34"/>
  <c r="D4" i="34"/>
  <c r="C4" i="34"/>
  <c r="B4" i="34"/>
  <c r="B80" i="33"/>
  <c r="B79" i="33"/>
  <c r="B78" i="33"/>
  <c r="B77" i="33"/>
  <c r="B76" i="33"/>
  <c r="B75" i="33"/>
  <c r="B74" i="33"/>
  <c r="B73" i="33"/>
  <c r="B72" i="33"/>
  <c r="B71" i="33"/>
  <c r="B70" i="33"/>
  <c r="B69" i="33"/>
  <c r="B68" i="33"/>
  <c r="B67" i="33"/>
  <c r="B66" i="33"/>
  <c r="B65" i="33"/>
  <c r="B64" i="33"/>
  <c r="B63" i="33"/>
  <c r="B60" i="33"/>
  <c r="B59" i="33"/>
  <c r="B58" i="33"/>
  <c r="B57" i="33"/>
  <c r="B56" i="33"/>
  <c r="B55" i="33"/>
  <c r="B54" i="33"/>
  <c r="B53" i="33"/>
  <c r="B52" i="33"/>
  <c r="B17" i="33"/>
  <c r="B15" i="33"/>
  <c r="B80" i="32"/>
  <c r="B79" i="32"/>
  <c r="B78" i="32"/>
  <c r="B77" i="32"/>
  <c r="B76" i="32"/>
  <c r="B75" i="32"/>
  <c r="B74" i="32"/>
  <c r="B73" i="32"/>
  <c r="B72" i="32"/>
  <c r="B71" i="32"/>
  <c r="B70" i="32"/>
  <c r="B69" i="32"/>
  <c r="B68" i="32"/>
  <c r="B67" i="32"/>
  <c r="B66" i="32"/>
  <c r="B65" i="32"/>
  <c r="B64" i="32"/>
  <c r="B63" i="32"/>
  <c r="B60" i="32"/>
  <c r="B59" i="32"/>
  <c r="B58" i="32"/>
  <c r="B57" i="32"/>
  <c r="B56" i="32"/>
  <c r="B55" i="32"/>
  <c r="B54" i="32"/>
  <c r="B53" i="32"/>
  <c r="B52" i="32"/>
  <c r="B15" i="30"/>
  <c r="D80" i="27" l="1"/>
  <c r="C80" i="27"/>
  <c r="B80" i="27"/>
  <c r="B62" i="27"/>
  <c r="D62" i="27"/>
  <c r="C62" i="27"/>
  <c r="B12" i="27"/>
  <c r="B4" i="27"/>
  <c r="D12" i="27"/>
  <c r="C12" i="27"/>
  <c r="D4" i="27"/>
  <c r="C4" i="27"/>
  <c r="B12" i="28"/>
  <c r="B12" i="15" l="1"/>
</calcChain>
</file>

<file path=xl/comments1.xml><?xml version="1.0" encoding="utf-8"?>
<comments xmlns="http://schemas.openxmlformats.org/spreadsheetml/2006/main">
  <authors>
    <author>jean</author>
  </authors>
  <commentList>
    <comment ref="D1" authorId="0" shapeId="0">
      <text>
        <r>
          <rPr>
            <sz val="9"/>
            <color indexed="81"/>
            <rFont val="Tahoma"/>
            <family val="2"/>
          </rPr>
          <t>Unless otherwise indicated in a note attached to the cell, all data collected in this column comes from : 
Ecodesign of Window Products. LOT 32, Task 3, IfF, VHK and VITO, June, 2015, p. 22</t>
        </r>
      </text>
    </comment>
    <comment ref="E1" authorId="0" shapeId="0">
      <text>
        <r>
          <rPr>
            <sz val="9"/>
            <color indexed="81"/>
            <rFont val="Tahoma"/>
            <family val="2"/>
          </rPr>
          <t>Unless otherwise indicated in a note attached to the cell, all data collected in this column comes from : 
Ecodesign of Window Products. LOT 32, IfF, VHK and VITO, June 2015.</t>
        </r>
      </text>
    </comment>
    <comment ref="C65" authorId="0" shapeId="0">
      <text>
        <r>
          <rPr>
            <sz val="9"/>
            <color indexed="81"/>
            <rFont val="Tahoma"/>
            <family val="2"/>
          </rPr>
          <t>EU 27 market for windows, Verband Fenster + Fassade, 2013.
In: Ecodesign of Window Products. LOT 32, IfF, VHK and VITO, June 2015.
3422 million of window units, which have a standard unit size of 1.3x1.3 m² and a glazing size of 1.2x1.2 m².</t>
        </r>
      </text>
    </comment>
  </commentList>
</comments>
</file>

<file path=xl/comments2.xml><?xml version="1.0" encoding="utf-8"?>
<comments xmlns="http://schemas.openxmlformats.org/spreadsheetml/2006/main">
  <authors>
    <author>jean</author>
  </authors>
  <commentList>
    <comment ref="C1" authorId="0" shapeId="0">
      <text>
        <r>
          <rPr>
            <sz val="9"/>
            <color indexed="81"/>
            <rFont val="Tahoma"/>
            <family val="2"/>
          </rPr>
          <t xml:space="preserve">Unless otherwise indicated in a note attached to the cell, all data collected in this column comes from:
PRODCOM, Eurostat, 2020
Code: 23121330
Label: Multiple-walled insulating units of glass </t>
        </r>
      </text>
    </comment>
    <comment ref="C4" authorId="0" shapeId="0">
      <text>
        <r>
          <rPr>
            <b/>
            <sz val="9"/>
            <color indexed="81"/>
            <rFont val="Tahoma"/>
            <family val="2"/>
          </rPr>
          <t>Start of the production</t>
        </r>
      </text>
    </comment>
    <comment ref="C12" authorId="0" shapeId="0">
      <text>
        <r>
          <rPr>
            <sz val="9"/>
            <color indexed="81"/>
            <rFont val="Tahoma"/>
            <family val="2"/>
          </rPr>
          <t>100.000 insulating glass units sold in 1955 according to Van de Voorde et al., 2015
Hypothesis: average surface of a window = 1.5x1.5m²</t>
        </r>
      </text>
    </comment>
    <comment ref="C27" authorId="0" shapeId="0">
      <text>
        <r>
          <rPr>
            <sz val="9"/>
            <color indexed="81"/>
            <rFont val="Tahoma"/>
            <family val="2"/>
          </rPr>
          <t>The glass industry in the European Economic Community, Commission of the European Communities, 1984, (p. 121)
"For flat glass :
. building : 57.2 % (1)
consisting of : double glazing : 51.6 %
single glazing : 48.4 %" (p. 6)</t>
        </r>
      </text>
    </comment>
    <comment ref="C32" authorId="0" shapeId="0">
      <text>
        <r>
          <rPr>
            <sz val="9"/>
            <color indexed="81"/>
            <rFont val="Tahoma"/>
            <family val="2"/>
          </rPr>
          <t>The glass industry in the European Economic Community, Commission of the European Communities, 1984, (p. 121)
"For flat glass :
. building : 57.2 % (1)
consisting of : double glazing : 51.6 %
single glazing : 48.4 %" (p. 6)</t>
        </r>
      </text>
    </comment>
    <comment ref="C38" authorId="0" shapeId="0">
      <text>
        <r>
          <rPr>
            <sz val="9"/>
            <color indexed="81"/>
            <rFont val="Tahoma"/>
            <family val="2"/>
          </rPr>
          <t>The glass industry in the European Economic Community, Commission of the European Communities, 1984, (p. 121)
"For flat glass :
. building : 57.2 % (1)
consisting of : double glazing : 51.6 %
single glazing : 48.4 %" (p. 6)</t>
        </r>
      </text>
    </comment>
  </commentList>
</comments>
</file>

<file path=xl/comments3.xml><?xml version="1.0" encoding="utf-8"?>
<comments xmlns="http://schemas.openxmlformats.org/spreadsheetml/2006/main">
  <authors>
    <author>jean</author>
  </authors>
  <commentList>
    <comment ref="C1" authorId="0" shapeId="0">
      <text>
        <r>
          <rPr>
            <sz val="9"/>
            <color indexed="81"/>
            <rFont val="Tahoma"/>
            <family val="2"/>
          </rPr>
          <t xml:space="preserve">Unless otherwise indicated in a note attached to the cell, all data collected in this column comes from:
PRODCOM, Eurostat, 2020
Code: 23121330
Label: Multiple-walled insulating units of glass </t>
        </r>
      </text>
    </comment>
    <comment ref="C4" authorId="0" shapeId="0">
      <text>
        <r>
          <rPr>
            <b/>
            <sz val="9"/>
            <color indexed="81"/>
            <rFont val="Tahoma"/>
            <family val="2"/>
          </rPr>
          <t>Start of the production</t>
        </r>
      </text>
    </comment>
  </commentList>
</comments>
</file>

<file path=xl/comments4.xml><?xml version="1.0" encoding="utf-8"?>
<comments xmlns="http://schemas.openxmlformats.org/spreadsheetml/2006/main">
  <authors>
    <author>jean</author>
  </authors>
  <commentList>
    <comment ref="C1" authorId="0" shapeId="0">
      <text>
        <r>
          <rPr>
            <sz val="9"/>
            <color indexed="81"/>
            <rFont val="Tahoma"/>
            <family val="2"/>
          </rPr>
          <t xml:space="preserve">Unless otherwise indicated in a note attached to the cell, all data collected in this column comes from:
PRODCOM, Eurostat, 2020
Code: 23121330
Label: Multiple-walled insulating units of glass </t>
        </r>
      </text>
    </comment>
    <comment ref="C4" authorId="0" shapeId="0">
      <text>
        <r>
          <rPr>
            <b/>
            <sz val="9"/>
            <color indexed="81"/>
            <rFont val="Tahoma"/>
            <family val="2"/>
          </rPr>
          <t>Start of the production</t>
        </r>
      </text>
    </comment>
  </commentList>
</comments>
</file>

<file path=xl/comments5.xml><?xml version="1.0" encoding="utf-8"?>
<comments xmlns="http://schemas.openxmlformats.org/spreadsheetml/2006/main">
  <authors>
    <author>jean</author>
  </authors>
  <commentList>
    <comment ref="C4" authorId="0" shapeId="0">
      <text>
        <r>
          <rPr>
            <sz val="9"/>
            <color indexed="81"/>
            <rFont val="Tahoma"/>
            <family val="2"/>
          </rPr>
          <t>(Piganiol, 1965)</t>
        </r>
      </text>
    </comment>
    <comment ref="D4" authorId="0" shapeId="0">
      <text>
        <r>
          <rPr>
            <sz val="9"/>
            <color indexed="81"/>
            <rFont val="Tahoma"/>
            <family val="2"/>
          </rPr>
          <t>(Van de Voorde, 2016)</t>
        </r>
      </text>
    </comment>
    <comment ref="E4" authorId="0" shapeId="0">
      <text>
        <r>
          <rPr>
            <sz val="9"/>
            <color indexed="81"/>
            <rFont val="Tahoma"/>
            <family val="2"/>
          </rPr>
          <t>(Compagnie de Saint-Gobain, 1953)</t>
        </r>
      </text>
    </comment>
    <comment ref="C12" authorId="0" shapeId="0">
      <text>
        <r>
          <rPr>
            <sz val="9"/>
            <color indexed="81"/>
            <rFont val="Tahoma"/>
            <family val="2"/>
          </rPr>
          <t>(Piganiol, 1965)</t>
        </r>
      </text>
    </comment>
    <comment ref="D12" authorId="0" shapeId="0">
      <text>
        <r>
          <rPr>
            <sz val="9"/>
            <color indexed="81"/>
            <rFont val="Tahoma"/>
            <family val="2"/>
          </rPr>
          <t>(Van de Voorde, 2016)</t>
        </r>
      </text>
    </comment>
    <comment ref="E12" authorId="0" shapeId="0">
      <text>
        <r>
          <rPr>
            <sz val="9"/>
            <color indexed="81"/>
            <rFont val="Tahoma"/>
            <family val="2"/>
          </rPr>
          <t>(Compagnie de Saint-Gobain, 1953)</t>
        </r>
      </text>
    </comment>
    <comment ref="C64" authorId="0" shapeId="0">
      <text>
        <r>
          <rPr>
            <sz val="9"/>
            <color indexed="81"/>
            <rFont val="Tahoma"/>
            <family val="2"/>
          </rPr>
          <t>(Hestin et al., 2016)
2% = triple glazing
98% = double glazing
80% = Residential
20% = Non-residential</t>
        </r>
      </text>
    </comment>
    <comment ref="D64" authorId="0" shapeId="0">
      <text>
        <r>
          <rPr>
            <sz val="9"/>
            <color indexed="81"/>
            <rFont val="Tahoma"/>
            <family val="2"/>
          </rPr>
          <t>(Private discussion with glass industries. According to them, since 2000, average thickness is around 6mm per glass sheet)</t>
        </r>
      </text>
    </comment>
    <comment ref="E64" authorId="0" shapeId="0">
      <text>
        <r>
          <rPr>
            <sz val="9"/>
            <color indexed="81"/>
            <rFont val="Tahoma"/>
            <family val="2"/>
          </rPr>
          <t>(Private discussion with glass industries. According to them, since 2000, average thickness is around 6mm per glass sheet)</t>
        </r>
      </text>
    </comment>
    <comment ref="C78" authorId="0" shapeId="0">
      <text>
        <r>
          <rPr>
            <sz val="9"/>
            <color indexed="81"/>
            <rFont val="Tahoma"/>
            <family val="2"/>
          </rPr>
          <t>(Interview with European glass industries. According to them, since 2000, the average thickness is around 5-6mm per glass sheet)</t>
        </r>
      </text>
    </comment>
    <comment ref="D78" authorId="0" shapeId="0">
      <text>
        <r>
          <rPr>
            <sz val="9"/>
            <color indexed="81"/>
            <rFont val="Tahoma"/>
            <family val="2"/>
          </rPr>
          <t>(Interview with European glass industries. According to them, since 2000, average thickness is around 4-6mm per glass sheet)</t>
        </r>
      </text>
    </comment>
    <comment ref="E78" authorId="0" shapeId="0">
      <text>
        <r>
          <rPr>
            <sz val="9"/>
            <color indexed="81"/>
            <rFont val="Tahoma"/>
            <family val="2"/>
          </rPr>
          <t>(Interview with European glass industries. According to them, since 2000, average thickness is around 4-6mm per glass sheet)</t>
        </r>
      </text>
    </comment>
  </commentList>
</comments>
</file>

<file path=xl/comments6.xml><?xml version="1.0" encoding="utf-8"?>
<comments xmlns="http://schemas.openxmlformats.org/spreadsheetml/2006/main">
  <authors>
    <author>jean</author>
  </authors>
  <commentList>
    <comment ref="B1" authorId="0" shapeId="0">
      <text>
        <r>
          <rPr>
            <sz val="9"/>
            <color indexed="81"/>
            <rFont val="Tahoma"/>
            <family val="2"/>
          </rPr>
          <t>Unless otherwise indicated in a note attached to the cell, all data collected in this column comes from:
(Glass for Europe, 2020)</t>
        </r>
      </text>
    </comment>
    <comment ref="B27" authorId="0" shapeId="0">
      <text>
        <r>
          <rPr>
            <sz val="9"/>
            <color indexed="81"/>
            <rFont val="Tahoma"/>
            <family val="2"/>
          </rPr>
          <t>(Glass for Europe, 2018)</t>
        </r>
      </text>
    </comment>
    <comment ref="B32" authorId="0" shapeId="0">
      <text>
        <r>
          <rPr>
            <sz val="9"/>
            <color indexed="81"/>
            <rFont val="Tahoma"/>
            <family val="2"/>
          </rPr>
          <t>(Glass for Europe, 2018)</t>
        </r>
      </text>
    </comment>
    <comment ref="B37" authorId="0" shapeId="0">
      <text>
        <r>
          <rPr>
            <sz val="9"/>
            <color indexed="81"/>
            <rFont val="Tahoma"/>
            <family val="2"/>
          </rPr>
          <t>(Glass for Europe, 2018)</t>
        </r>
      </text>
    </comment>
    <comment ref="B42" authorId="0" shapeId="0">
      <text>
        <r>
          <rPr>
            <sz val="9"/>
            <color indexed="81"/>
            <rFont val="Tahoma"/>
            <family val="2"/>
          </rPr>
          <t>(Glass for Europe, 2018)</t>
        </r>
      </text>
    </comment>
    <comment ref="B65" authorId="0" shapeId="0">
      <text>
        <r>
          <rPr>
            <sz val="9"/>
            <color indexed="81"/>
            <rFont val="Tahoma"/>
            <family val="2"/>
          </rPr>
          <t>Average between: 606tCO2/tp (Ecofys, 2009) and 730tCO2/tp (Schmitz et al., 2011)</t>
        </r>
      </text>
    </comment>
  </commentList>
</comments>
</file>

<file path=xl/comments7.xml><?xml version="1.0" encoding="utf-8"?>
<comments xmlns="http://schemas.openxmlformats.org/spreadsheetml/2006/main">
  <authors>
    <author>jean</author>
  </authors>
  <commentList>
    <comment ref="B1" authorId="0" shapeId="0">
      <text>
        <r>
          <rPr>
            <sz val="9"/>
            <color indexed="81"/>
            <rFont val="Tahoma"/>
            <family val="2"/>
          </rPr>
          <t>Average; Calculated according to window glass/plate glass and then float glass ratio.</t>
        </r>
      </text>
    </comment>
    <comment ref="C1" authorId="0" shapeId="0">
      <text>
        <r>
          <rPr>
            <sz val="9"/>
            <color indexed="81"/>
            <rFont val="Tahoma"/>
            <family val="2"/>
          </rPr>
          <t>Average; Calculated according to window glass/plate glass and then float glass ratio.</t>
        </r>
      </text>
    </comment>
    <comment ref="D1" authorId="0" shapeId="0">
      <text>
        <r>
          <rPr>
            <sz val="9"/>
            <color indexed="81"/>
            <rFont val="Tahoma"/>
            <family val="2"/>
          </rPr>
          <t>Average; Calculated according to window glass/plate glass and then float glass ratio.</t>
        </r>
      </text>
    </comment>
    <comment ref="B27" authorId="0" shapeId="0">
      <text>
        <r>
          <rPr>
            <sz val="9"/>
            <color indexed="81"/>
            <rFont val="Tahoma"/>
            <family val="2"/>
          </rPr>
          <t>(Commission of the European Communities, 1984)</t>
        </r>
      </text>
    </comment>
    <comment ref="C27" authorId="0" shapeId="0">
      <text>
        <r>
          <rPr>
            <sz val="9"/>
            <color indexed="81"/>
            <rFont val="Tahoma"/>
            <family val="2"/>
          </rPr>
          <t>(Commission of the European Communities, 1984)</t>
        </r>
      </text>
    </comment>
    <comment ref="D27" authorId="0" shapeId="0">
      <text>
        <r>
          <rPr>
            <sz val="9"/>
            <color indexed="81"/>
            <rFont val="Tahoma"/>
            <family val="2"/>
          </rPr>
          <t>(Commission of the European Communities, 1984)</t>
        </r>
      </text>
    </comment>
    <comment ref="E27" authorId="0" shapeId="0">
      <text>
        <r>
          <rPr>
            <sz val="9"/>
            <color indexed="81"/>
            <rFont val="Tahoma"/>
            <family val="2"/>
          </rPr>
          <t>(Commission of the European Communities, 1984)</t>
        </r>
      </text>
    </comment>
    <comment ref="B30" authorId="0" shapeId="0">
      <text>
        <r>
          <rPr>
            <sz val="9"/>
            <color indexed="81"/>
            <rFont val="Tahoma"/>
            <family val="2"/>
          </rPr>
          <t>(Commission of the European Communities, 1984)</t>
        </r>
      </text>
    </comment>
    <comment ref="C30" authorId="0" shapeId="0">
      <text>
        <r>
          <rPr>
            <sz val="9"/>
            <color indexed="81"/>
            <rFont val="Tahoma"/>
            <family val="2"/>
          </rPr>
          <t>(Commission of the European Communities, 1984)</t>
        </r>
      </text>
    </comment>
    <comment ref="D30" authorId="0" shapeId="0">
      <text>
        <r>
          <rPr>
            <sz val="9"/>
            <color indexed="81"/>
            <rFont val="Tahoma"/>
            <family val="2"/>
          </rPr>
          <t>(Commission of the European Communities, 1984)</t>
        </r>
      </text>
    </comment>
    <comment ref="E30" authorId="0" shapeId="0">
      <text>
        <r>
          <rPr>
            <sz val="9"/>
            <color indexed="81"/>
            <rFont val="Tahoma"/>
            <family val="2"/>
          </rPr>
          <t>(Commission of the European Communities, 1984)</t>
        </r>
      </text>
    </comment>
    <comment ref="B31" authorId="0" shapeId="0">
      <text>
        <r>
          <rPr>
            <sz val="9"/>
            <color indexed="81"/>
            <rFont val="Tahoma"/>
            <family val="2"/>
          </rPr>
          <t>(Commission of the European Communities, 1984)</t>
        </r>
      </text>
    </comment>
    <comment ref="C31" authorId="0" shapeId="0">
      <text>
        <r>
          <rPr>
            <sz val="9"/>
            <color indexed="81"/>
            <rFont val="Tahoma"/>
            <family val="2"/>
          </rPr>
          <t>(Commission of the European Communities, 1984)</t>
        </r>
      </text>
    </comment>
    <comment ref="D31" authorId="0" shapeId="0">
      <text>
        <r>
          <rPr>
            <sz val="9"/>
            <color indexed="81"/>
            <rFont val="Tahoma"/>
            <family val="2"/>
          </rPr>
          <t>(Commission of the European Communities, 1984)</t>
        </r>
      </text>
    </comment>
    <comment ref="E31" authorId="0" shapeId="0">
      <text>
        <r>
          <rPr>
            <sz val="9"/>
            <color indexed="81"/>
            <rFont val="Tahoma"/>
            <family val="2"/>
          </rPr>
          <t>(Commission of the European Communities, 1984)</t>
        </r>
      </text>
    </comment>
    <comment ref="B32" authorId="0" shapeId="0">
      <text>
        <r>
          <rPr>
            <sz val="9"/>
            <color indexed="81"/>
            <rFont val="Tahoma"/>
            <family val="2"/>
          </rPr>
          <t>(Commission of the European Communities, 1984)</t>
        </r>
      </text>
    </comment>
    <comment ref="C32" authorId="0" shapeId="0">
      <text>
        <r>
          <rPr>
            <sz val="9"/>
            <color indexed="81"/>
            <rFont val="Tahoma"/>
            <family val="2"/>
          </rPr>
          <t>(Commission of the European Communities, 1984)</t>
        </r>
      </text>
    </comment>
    <comment ref="D32" authorId="0" shapeId="0">
      <text>
        <r>
          <rPr>
            <sz val="9"/>
            <color indexed="81"/>
            <rFont val="Tahoma"/>
            <family val="2"/>
          </rPr>
          <t>(Commission of the European Communities, 1984)</t>
        </r>
      </text>
    </comment>
    <comment ref="E32" authorId="0" shapeId="0">
      <text>
        <r>
          <rPr>
            <sz val="9"/>
            <color indexed="81"/>
            <rFont val="Tahoma"/>
            <family val="2"/>
          </rPr>
          <t>(Commission of the European Communities, 1984)</t>
        </r>
      </text>
    </comment>
    <comment ref="B33" authorId="0" shapeId="0">
      <text>
        <r>
          <rPr>
            <sz val="9"/>
            <color indexed="81"/>
            <rFont val="Tahoma"/>
            <family val="2"/>
          </rPr>
          <t>(Commission of the European Communities, 1984)</t>
        </r>
      </text>
    </comment>
    <comment ref="C33" authorId="0" shapeId="0">
      <text>
        <r>
          <rPr>
            <sz val="9"/>
            <color indexed="81"/>
            <rFont val="Tahoma"/>
            <family val="2"/>
          </rPr>
          <t>(Commission of the European Communities, 1984)</t>
        </r>
      </text>
    </comment>
    <comment ref="D33" authorId="0" shapeId="0">
      <text>
        <r>
          <rPr>
            <sz val="9"/>
            <color indexed="81"/>
            <rFont val="Tahoma"/>
            <family val="2"/>
          </rPr>
          <t>(Commission of the European Communities, 1984)</t>
        </r>
      </text>
    </comment>
    <comment ref="E33" authorId="0" shapeId="0">
      <text>
        <r>
          <rPr>
            <sz val="9"/>
            <color indexed="81"/>
            <rFont val="Tahoma"/>
            <family val="2"/>
          </rPr>
          <t>(Commission of the European Communities, 1984)</t>
        </r>
      </text>
    </comment>
    <comment ref="B34" authorId="0" shapeId="0">
      <text>
        <r>
          <rPr>
            <sz val="9"/>
            <color indexed="81"/>
            <rFont val="Tahoma"/>
            <family val="2"/>
          </rPr>
          <t>(Commission of the European Communities, 1984)</t>
        </r>
      </text>
    </comment>
    <comment ref="C34" authorId="0" shapeId="0">
      <text>
        <r>
          <rPr>
            <sz val="9"/>
            <color indexed="81"/>
            <rFont val="Tahoma"/>
            <family val="2"/>
          </rPr>
          <t>(Commission of the European Communities, 1984)</t>
        </r>
      </text>
    </comment>
    <comment ref="D34" authorId="0" shapeId="0">
      <text>
        <r>
          <rPr>
            <sz val="9"/>
            <color indexed="81"/>
            <rFont val="Tahoma"/>
            <family val="2"/>
          </rPr>
          <t>(Commission of the European Communities, 1984)</t>
        </r>
      </text>
    </comment>
    <comment ref="E34" authorId="0" shapeId="0">
      <text>
        <r>
          <rPr>
            <sz val="9"/>
            <color indexed="81"/>
            <rFont val="Tahoma"/>
            <family val="2"/>
          </rPr>
          <t>(Commission of the European Communities, 1984)</t>
        </r>
      </text>
    </comment>
    <comment ref="B35" authorId="0" shapeId="0">
      <text>
        <r>
          <rPr>
            <sz val="9"/>
            <color indexed="81"/>
            <rFont val="Tahoma"/>
            <family val="2"/>
          </rPr>
          <t>(Commission of the European Communities, 1984)</t>
        </r>
      </text>
    </comment>
    <comment ref="C35" authorId="0" shapeId="0">
      <text>
        <r>
          <rPr>
            <sz val="9"/>
            <color indexed="81"/>
            <rFont val="Tahoma"/>
            <family val="2"/>
          </rPr>
          <t>(Commission of the European Communities, 1984)</t>
        </r>
      </text>
    </comment>
    <comment ref="D35" authorId="0" shapeId="0">
      <text>
        <r>
          <rPr>
            <sz val="9"/>
            <color indexed="81"/>
            <rFont val="Tahoma"/>
            <family val="2"/>
          </rPr>
          <t>(Commission of the European Communities, 1984)</t>
        </r>
      </text>
    </comment>
    <comment ref="E35" authorId="0" shapeId="0">
      <text>
        <r>
          <rPr>
            <sz val="9"/>
            <color indexed="81"/>
            <rFont val="Tahoma"/>
            <family val="2"/>
          </rPr>
          <t>(Commission of the European Communities, 1984)</t>
        </r>
      </text>
    </comment>
    <comment ref="B37" authorId="0" shapeId="0">
      <text>
        <r>
          <rPr>
            <sz val="9"/>
            <color indexed="81"/>
            <rFont val="Tahoma"/>
            <family val="2"/>
          </rPr>
          <t>(Commission of the European Communities, 1984)</t>
        </r>
      </text>
    </comment>
    <comment ref="C37" authorId="0" shapeId="0">
      <text>
        <r>
          <rPr>
            <sz val="9"/>
            <color indexed="81"/>
            <rFont val="Tahoma"/>
            <family val="2"/>
          </rPr>
          <t>(Commission of the European Communities, 1984)</t>
        </r>
      </text>
    </comment>
    <comment ref="D37" authorId="0" shapeId="0">
      <text>
        <r>
          <rPr>
            <sz val="9"/>
            <color indexed="81"/>
            <rFont val="Tahoma"/>
            <family val="2"/>
          </rPr>
          <t>(Commission of the European Communities, 1984)</t>
        </r>
      </text>
    </comment>
    <comment ref="E37" authorId="0" shapeId="0">
      <text>
        <r>
          <rPr>
            <sz val="9"/>
            <color indexed="81"/>
            <rFont val="Tahoma"/>
            <family val="2"/>
          </rPr>
          <t>(Commission of the European Communities, 1984)</t>
        </r>
      </text>
    </comment>
    <comment ref="B38" authorId="0" shapeId="0">
      <text>
        <r>
          <rPr>
            <sz val="9"/>
            <color indexed="81"/>
            <rFont val="Tahoma"/>
            <family val="2"/>
          </rPr>
          <t>(Commission of the European Communities, 1984)</t>
        </r>
      </text>
    </comment>
    <comment ref="C38" authorId="0" shapeId="0">
      <text>
        <r>
          <rPr>
            <sz val="9"/>
            <color indexed="81"/>
            <rFont val="Tahoma"/>
            <family val="2"/>
          </rPr>
          <t>(Commission of the European Communities, 1984)</t>
        </r>
      </text>
    </comment>
    <comment ref="D38" authorId="0" shapeId="0">
      <text>
        <r>
          <rPr>
            <sz val="9"/>
            <color indexed="81"/>
            <rFont val="Tahoma"/>
            <family val="2"/>
          </rPr>
          <t>(Commission of the European Communities, 1984)</t>
        </r>
      </text>
    </comment>
    <comment ref="E38" authorId="0" shapeId="0">
      <text>
        <r>
          <rPr>
            <sz val="9"/>
            <color indexed="81"/>
            <rFont val="Tahoma"/>
            <family val="2"/>
          </rPr>
          <t>(Commission of the European Communities, 1984)</t>
        </r>
      </text>
    </comment>
    <comment ref="B52" authorId="0" shapeId="0">
      <text>
        <r>
          <rPr>
            <sz val="9"/>
            <color indexed="81"/>
            <rFont val="Tahoma"/>
            <family val="2"/>
          </rPr>
          <t>(Dinesen et al., 1994),  (Tackels, 1993), (Weir, 1998) and (West et al., 2011)</t>
        </r>
      </text>
    </comment>
    <comment ref="C52" authorId="0" shapeId="0">
      <text>
        <r>
          <rPr>
            <sz val="9"/>
            <color indexed="81"/>
            <rFont val="Tahoma"/>
            <family val="2"/>
          </rPr>
          <t>(Dinesen et al., 1994),  (Tackels, 1993), (Weir, 1998) and (West et al., 2011)</t>
        </r>
      </text>
    </comment>
    <comment ref="D52" authorId="0" shapeId="0">
      <text>
        <r>
          <rPr>
            <sz val="9"/>
            <color indexed="81"/>
            <rFont val="Tahoma"/>
            <family val="2"/>
          </rPr>
          <t>(Dinesen et al., 1994),  (Tackels, 1993), (Weir, 1998) and (West et al., 2011)</t>
        </r>
      </text>
    </comment>
    <comment ref="E52" authorId="0" shapeId="0">
      <text>
        <r>
          <rPr>
            <sz val="9"/>
            <color indexed="81"/>
            <rFont val="Tahoma"/>
            <family val="2"/>
          </rPr>
          <t>(Dinesen et al., 1994),  (Tackels, 1993), (Weir, 1998) and (West et al., 2011)</t>
        </r>
      </text>
    </comment>
    <comment ref="B67" authorId="0" shapeId="0">
      <text>
        <r>
          <rPr>
            <sz val="9"/>
            <color indexed="81"/>
            <rFont val="Tahoma"/>
            <family val="2"/>
          </rPr>
          <t>(PE International, 2011) and (Schmitz et al., 2011)</t>
        </r>
      </text>
    </comment>
    <comment ref="C67" authorId="0" shapeId="0">
      <text>
        <r>
          <rPr>
            <sz val="9"/>
            <color indexed="81"/>
            <rFont val="Tahoma"/>
            <family val="2"/>
          </rPr>
          <t>(PE International, 2011) and (Schmitz et al., 2011)</t>
        </r>
      </text>
    </comment>
    <comment ref="D67" authorId="0" shapeId="0">
      <text>
        <r>
          <rPr>
            <sz val="9"/>
            <color indexed="81"/>
            <rFont val="Tahoma"/>
            <family val="2"/>
          </rPr>
          <t>(PE International, 2011) and (Schmitz et al., 2011)</t>
        </r>
      </text>
    </comment>
    <comment ref="E67" authorId="0" shapeId="0">
      <text>
        <r>
          <rPr>
            <sz val="9"/>
            <color indexed="81"/>
            <rFont val="Tahoma"/>
            <family val="2"/>
          </rPr>
          <t>(PE International, 2011) and (Schmitz et al., 2011)</t>
        </r>
      </text>
    </comment>
    <comment ref="B77" authorId="0" shapeId="0">
      <text>
        <r>
          <rPr>
            <sz val="9"/>
            <color indexed="81"/>
            <rFont val="Tahoma"/>
            <family val="2"/>
          </rPr>
          <t>(PE International, 2011) and (Schmitz et al., 2011)</t>
        </r>
      </text>
    </comment>
    <comment ref="C77" authorId="0" shapeId="0">
      <text>
        <r>
          <rPr>
            <sz val="9"/>
            <color indexed="81"/>
            <rFont val="Tahoma"/>
            <family val="2"/>
          </rPr>
          <t>(PE International, 2011) and (Schmitz et al., 2011)</t>
        </r>
      </text>
    </comment>
    <comment ref="D77" authorId="0" shapeId="0">
      <text>
        <r>
          <rPr>
            <sz val="9"/>
            <color indexed="81"/>
            <rFont val="Tahoma"/>
            <family val="2"/>
          </rPr>
          <t>(PE International, 2011) and (Schmitz et al., 2011)</t>
        </r>
      </text>
    </comment>
    <comment ref="E77" authorId="0" shapeId="0">
      <text>
        <r>
          <rPr>
            <sz val="9"/>
            <color indexed="81"/>
            <rFont val="Tahoma"/>
            <family val="2"/>
          </rPr>
          <t>(PE International, 2011) and (Schmitz et al., 2011)</t>
        </r>
      </text>
    </comment>
  </commentList>
</comments>
</file>

<file path=xl/comments8.xml><?xml version="1.0" encoding="utf-8"?>
<comments xmlns="http://schemas.openxmlformats.org/spreadsheetml/2006/main">
  <authors>
    <author>jean</author>
  </authors>
  <commentList>
    <comment ref="B1" authorId="0" shapeId="0">
      <text>
        <r>
          <rPr>
            <sz val="9"/>
            <color indexed="81"/>
            <rFont val="Tahoma"/>
            <family val="2"/>
          </rPr>
          <t>Unless otherwise indicated in a note attached to the cell, all data collected in this column comes from:
(Commission of the European Communities, 1984)</t>
        </r>
      </text>
    </comment>
    <comment ref="B3" authorId="0" shapeId="0">
      <text>
        <r>
          <rPr>
            <sz val="9"/>
            <color indexed="81"/>
            <rFont val="Tahoma"/>
            <family val="2"/>
          </rPr>
          <t xml:space="preserve">Production of the first insulated glazing
</t>
        </r>
      </text>
    </comment>
    <comment ref="B12" authorId="0" shapeId="0">
      <text>
        <r>
          <rPr>
            <sz val="9"/>
            <color indexed="81"/>
            <rFont val="Tahoma"/>
            <family val="2"/>
          </rPr>
          <t>100.000 insulating glass units intalled in Europe in the year 1955. We suppose an average window area of 1.5x1.5m². It represents 2% of the annual production of the year 1970. We generalise this ratio to France and Belgium.</t>
        </r>
      </text>
    </comment>
    <comment ref="B35" authorId="0" shapeId="0">
      <text>
        <r>
          <rPr>
            <sz val="9"/>
            <color indexed="81"/>
            <rFont val="Tahoma"/>
            <family val="2"/>
          </rPr>
          <t xml:space="preserve">The glass industry in the European Economic Community, Commission of the European Communities, 1984, (p. 122) </t>
        </r>
      </text>
    </comment>
  </commentList>
</comments>
</file>

<file path=xl/comments9.xml><?xml version="1.0" encoding="utf-8"?>
<comments xmlns="http://schemas.openxmlformats.org/spreadsheetml/2006/main">
  <authors>
    <author>jean</author>
  </authors>
  <commentList>
    <comment ref="B1" authorId="0" shapeId="0">
      <text>
        <r>
          <rPr>
            <sz val="9"/>
            <color indexed="81"/>
            <rFont val="Tahoma"/>
            <family val="2"/>
          </rPr>
          <t>Unless otherwise indicated in a note attached to the cell, all data collected in this column comes from:
Production industrielle: industrie du verre, Service des études et des statistiques industrielles, 1989-2004</t>
        </r>
      </text>
    </comment>
    <comment ref="B3" authorId="0" shapeId="0">
      <text>
        <r>
          <rPr>
            <sz val="9"/>
            <color indexed="81"/>
            <rFont val="Tahoma"/>
            <family val="2"/>
          </rPr>
          <t xml:space="preserve">Production of the first insulated glazing
</t>
        </r>
      </text>
    </comment>
    <comment ref="B12" authorId="0" shapeId="0">
      <text>
        <r>
          <rPr>
            <sz val="9"/>
            <color indexed="81"/>
            <rFont val="Tahoma"/>
            <family val="2"/>
          </rPr>
          <t>100.000 insulating glass units intalled in Europe in the year 1955. We suppose an average window area of 1.5x1.5m². It represents 2% of the annual production of the year 1970. We generalise this ratio to France and Belgium.</t>
        </r>
      </text>
    </comment>
    <comment ref="B35" authorId="0" shapeId="0">
      <text>
        <r>
          <rPr>
            <sz val="9"/>
            <color indexed="81"/>
            <rFont val="Tahoma"/>
            <family val="2"/>
          </rPr>
          <t xml:space="preserve">The glass industry in the European Economic Community, Commission of the European Communities, 1984, (p. 122) </t>
        </r>
      </text>
    </comment>
    <comment ref="B39" authorId="0" shapeId="0">
      <text>
        <r>
          <rPr>
            <sz val="9"/>
            <color indexed="81"/>
            <rFont val="Tahoma"/>
            <family val="2"/>
          </rPr>
          <t>Annuaire statistique de la France, 1987, Institut National de la Statistique et des Études Économiques, Paris, 1988. p. 591</t>
        </r>
      </text>
    </comment>
    <comment ref="B40" authorId="0" shapeId="0">
      <text>
        <r>
          <rPr>
            <sz val="9"/>
            <color indexed="81"/>
            <rFont val="Tahoma"/>
            <family val="2"/>
          </rPr>
          <t>Annuaire statistique de la France, 1987, Institut National de la Statistique et des Études Économiques, Paris, 1988. p. 591</t>
        </r>
      </text>
    </comment>
    <comment ref="B41" authorId="0" shapeId="0">
      <text>
        <r>
          <rPr>
            <sz val="9"/>
            <color indexed="81"/>
            <rFont val="Tahoma"/>
            <family val="2"/>
          </rPr>
          <t>Annuaire statistique de la France, 1989, Institut National de la Statistique et des Études Économiques, Paris, 1990. p. 573</t>
        </r>
      </text>
    </comment>
    <comment ref="B42" authorId="0" shapeId="0">
      <text>
        <r>
          <rPr>
            <sz val="9"/>
            <color indexed="81"/>
            <rFont val="Tahoma"/>
            <family val="2"/>
          </rPr>
          <t>Annuaire statistique de la France, 1989, Institut National de la Statistique et des Études Économiques, Paris, 1990. p. 573</t>
        </r>
      </text>
    </comment>
    <comment ref="B43" authorId="0" shapeId="0">
      <text>
        <r>
          <rPr>
            <sz val="9"/>
            <color indexed="81"/>
            <rFont val="Tahoma"/>
            <family val="2"/>
          </rPr>
          <t>Annuaire statistique de la France, 1991-92, Institut National de la Statistique et des Études Économiques, Paris, 1993. p. 551</t>
        </r>
      </text>
    </comment>
    <comment ref="B44" authorId="0" shapeId="0">
      <text>
        <r>
          <rPr>
            <sz val="9"/>
            <color indexed="81"/>
            <rFont val="Tahoma"/>
            <family val="2"/>
          </rPr>
          <t>Annuaire statistique de la France, 1991-92, Institut National de la Statistique et des Études Économiques, Paris, 1993. p. 551</t>
        </r>
      </text>
    </comment>
    <comment ref="B45" authorId="0" shapeId="0">
      <text>
        <r>
          <rPr>
            <sz val="9"/>
            <color indexed="81"/>
            <rFont val="Tahoma"/>
            <family val="2"/>
          </rPr>
          <t>Annuaire statistique de la France, 1991-92, Institut National de la Statistique et des Études Économiques, Paris, 1993. p. 551</t>
        </r>
      </text>
    </comment>
    <comment ref="B46" authorId="0" shapeId="0">
      <text>
        <r>
          <rPr>
            <sz val="9"/>
            <color indexed="81"/>
            <rFont val="Tahoma"/>
            <family val="2"/>
          </rPr>
          <t>Annuaire statistique de la France, 1991-92, Institut National de la Statistique et des Études Économiques, Paris, 1993. p. 551</t>
        </r>
      </text>
    </comment>
    <comment ref="B47" authorId="0" shapeId="0">
      <text>
        <r>
          <rPr>
            <sz val="9"/>
            <color indexed="81"/>
            <rFont val="Tahoma"/>
            <family val="2"/>
          </rPr>
          <t>Annuaire statistique de la France, 1991-92, Institut National de la Statistique et des Études Économiques, Paris, 1993. p. 551</t>
        </r>
      </text>
    </comment>
    <comment ref="B48" authorId="0" shapeId="0">
      <text>
        <r>
          <rPr>
            <sz val="9"/>
            <color indexed="81"/>
            <rFont val="Tahoma"/>
            <family val="2"/>
          </rPr>
          <t>Annuaire statistique de la France, 1993, Institut National de la Statistique et des Études Économiques, Paris, 1994. p. 551</t>
        </r>
      </text>
    </comment>
    <comment ref="B49" authorId="0" shapeId="0">
      <text>
        <r>
          <rPr>
            <sz val="9"/>
            <color indexed="81"/>
            <rFont val="Tahoma"/>
            <family val="2"/>
          </rPr>
          <t>Annuaire statistique de la France, 1994, Institut National de la Statistique et des Études Économiques, Paris, 1995. p. 593</t>
        </r>
      </text>
    </comment>
    <comment ref="B50" authorId="0" shapeId="0">
      <text>
        <r>
          <rPr>
            <sz val="9"/>
            <color indexed="81"/>
            <rFont val="Tahoma"/>
            <family val="2"/>
          </rPr>
          <t>Annuaire statistique de la France, 1994, Institut National de la Statistique et des Études Économiques, Paris, 1995. p. 593</t>
        </r>
      </text>
    </comment>
    <comment ref="B51" authorId="0" shapeId="0">
      <text>
        <r>
          <rPr>
            <sz val="9"/>
            <color indexed="81"/>
            <rFont val="Tahoma"/>
            <family val="2"/>
          </rPr>
          <t>Annuaire statistique de la France, 1997, Institut National de la Statistique et des Études Économiques, Paris, 1998. p. 691</t>
        </r>
      </text>
    </comment>
    <comment ref="B52" authorId="0" shapeId="0">
      <text>
        <r>
          <rPr>
            <sz val="9"/>
            <color indexed="81"/>
            <rFont val="Tahoma"/>
            <family val="2"/>
          </rPr>
          <t>Annuaire statistique de la France, 1997, Institut National de la Statistique et des Études Économiques, Paris, 1998. p. 691</t>
        </r>
      </text>
    </comment>
    <comment ref="B53" authorId="0" shapeId="0">
      <text>
        <r>
          <rPr>
            <sz val="9"/>
            <color indexed="81"/>
            <rFont val="Tahoma"/>
            <family val="2"/>
          </rPr>
          <t>Annuaire statistique de la France, 1997, Institut National de la Statistique et des Études Économiques, Paris, 1998. p. 691</t>
        </r>
      </text>
    </comment>
    <comment ref="B55" authorId="0" shapeId="0">
      <text>
        <r>
          <rPr>
            <sz val="9"/>
            <color indexed="81"/>
            <rFont val="Tahoma"/>
            <family val="2"/>
          </rPr>
          <t xml:space="preserve">PRODCOM, Eurostat, 2020
Code: 23121330
Label: Multiple-walled insulating units of glass </t>
        </r>
      </text>
    </comment>
    <comment ref="B56" authorId="0" shapeId="0">
      <text>
        <r>
          <rPr>
            <sz val="9"/>
            <color indexed="81"/>
            <rFont val="Tahoma"/>
            <family val="2"/>
          </rPr>
          <t xml:space="preserve">PRODCOM, Eurostat, 2020
Code: 23121330
Label: Multiple-walled insulating units of glass </t>
        </r>
      </text>
    </comment>
    <comment ref="B57" authorId="0" shapeId="0">
      <text>
        <r>
          <rPr>
            <sz val="9"/>
            <color indexed="81"/>
            <rFont val="Tahoma"/>
            <family val="2"/>
          </rPr>
          <t xml:space="preserve">PRODCOM, Eurostat, 2020
Code: 23121330
Label: Multiple-walled insulating units of glass </t>
        </r>
      </text>
    </comment>
    <comment ref="B58" authorId="0" shapeId="0">
      <text>
        <r>
          <rPr>
            <sz val="9"/>
            <color indexed="81"/>
            <rFont val="Tahoma"/>
            <family val="2"/>
          </rPr>
          <t xml:space="preserve">PRODCOM, Eurostat, 2020
Code: 23121330
Label: Multiple-walled insulating units of glass </t>
        </r>
      </text>
    </comment>
    <comment ref="B60" authorId="0" shapeId="0">
      <text>
        <r>
          <rPr>
            <sz val="9"/>
            <color indexed="81"/>
            <rFont val="Tahoma"/>
            <family val="2"/>
          </rPr>
          <t xml:space="preserve">PRODCOM, Eurostat, 2020
Code: 23121330
Label: Multiple-walled insulating units of glass </t>
        </r>
      </text>
    </comment>
    <comment ref="B61" authorId="0" shapeId="0">
      <text>
        <r>
          <rPr>
            <sz val="9"/>
            <color indexed="81"/>
            <rFont val="Tahoma"/>
            <family val="2"/>
          </rPr>
          <t xml:space="preserve">PRODCOM, Eurostat, 2020
Code: 23121330
Label: Multiple-walled insulating units of glass </t>
        </r>
      </text>
    </comment>
    <comment ref="B62" authorId="0" shapeId="0">
      <text>
        <r>
          <rPr>
            <sz val="9"/>
            <color indexed="81"/>
            <rFont val="Tahoma"/>
            <family val="2"/>
          </rPr>
          <t xml:space="preserve">PRODCOM, Eurostat, 2020
Code: 23121330
Label: Multiple-walled insulating units of glass </t>
        </r>
      </text>
    </comment>
    <comment ref="B63" authorId="0" shapeId="0">
      <text>
        <r>
          <rPr>
            <sz val="9"/>
            <color indexed="81"/>
            <rFont val="Tahoma"/>
            <family val="2"/>
          </rPr>
          <t xml:space="preserve">PRODCOM, Eurostat, 2020
Code: 23121330
Label: Multiple-walled insulating units of glass </t>
        </r>
      </text>
    </comment>
    <comment ref="B64" authorId="0" shapeId="0">
      <text>
        <r>
          <rPr>
            <sz val="9"/>
            <color indexed="81"/>
            <rFont val="Tahoma"/>
            <family val="2"/>
          </rPr>
          <t xml:space="preserve">PRODCOM, Eurostat, 2020
Code: 23121330
Label: Multiple-walled insulating units of glass </t>
        </r>
      </text>
    </comment>
    <comment ref="B65" authorId="0" shapeId="0">
      <text>
        <r>
          <rPr>
            <sz val="9"/>
            <color indexed="81"/>
            <rFont val="Tahoma"/>
            <family val="2"/>
          </rPr>
          <t xml:space="preserve">PRODCOM, Eurostat, 2020
Code: 23121330
Label: Multiple-walled insulating units of glass </t>
        </r>
      </text>
    </comment>
    <comment ref="B66" authorId="0" shapeId="0">
      <text>
        <r>
          <rPr>
            <sz val="9"/>
            <color indexed="81"/>
            <rFont val="Tahoma"/>
            <family val="2"/>
          </rPr>
          <t xml:space="preserve">PRODCOM, Eurostat, 2020
Code: 23121330
Label: Multiple-walled insulating units of glass </t>
        </r>
      </text>
    </comment>
    <comment ref="B67" authorId="0" shapeId="0">
      <text>
        <r>
          <rPr>
            <sz val="9"/>
            <color indexed="81"/>
            <rFont val="Tahoma"/>
            <family val="2"/>
          </rPr>
          <t xml:space="preserve">PRODCOM, Eurostat, 2020
Code: 23121330
Label: Multiple-walled insulating units of glass </t>
        </r>
      </text>
    </comment>
    <comment ref="B68" authorId="0" shapeId="0">
      <text>
        <r>
          <rPr>
            <sz val="9"/>
            <color indexed="81"/>
            <rFont val="Tahoma"/>
            <family val="2"/>
          </rPr>
          <t xml:space="preserve">PRODCOM, Eurostat, 2020
Code: 23121330
Label: Multiple-walled insulating units of glass </t>
        </r>
      </text>
    </comment>
    <comment ref="B69" authorId="0" shapeId="0">
      <text>
        <r>
          <rPr>
            <sz val="9"/>
            <color indexed="81"/>
            <rFont val="Tahoma"/>
            <family val="2"/>
          </rPr>
          <t xml:space="preserve">PRODCOM, Eurostat, 2020
Code: 23121330
Label: Multiple-walled insulating units of glass </t>
        </r>
      </text>
    </comment>
    <comment ref="B70" authorId="0" shapeId="0">
      <text>
        <r>
          <rPr>
            <sz val="9"/>
            <color indexed="81"/>
            <rFont val="Tahoma"/>
            <family val="2"/>
          </rPr>
          <t xml:space="preserve">PRODCOM, Eurostat, 2020
Code: 23121330
Label: Multiple-walled insulating units of glass </t>
        </r>
      </text>
    </comment>
    <comment ref="B71" authorId="0" shapeId="0">
      <text>
        <r>
          <rPr>
            <sz val="9"/>
            <color indexed="81"/>
            <rFont val="Tahoma"/>
            <family val="2"/>
          </rPr>
          <t xml:space="preserve">PRODCOM, Eurostat, 2020
Code: 23121330
Label: Multiple-walled insulating units of glass </t>
        </r>
      </text>
    </comment>
    <comment ref="B72" authorId="0" shapeId="0">
      <text>
        <r>
          <rPr>
            <sz val="9"/>
            <color indexed="81"/>
            <rFont val="Tahoma"/>
            <family val="2"/>
          </rPr>
          <t xml:space="preserve">PRODCOM, Eurostat, 2020
Code: 23121330
Label: Multiple-walled insulating units of glass </t>
        </r>
      </text>
    </comment>
    <comment ref="B73" authorId="0" shapeId="0">
      <text>
        <r>
          <rPr>
            <sz val="9"/>
            <color indexed="81"/>
            <rFont val="Tahoma"/>
            <family val="2"/>
          </rPr>
          <t xml:space="preserve">PRODCOM, Eurostat, 2020
Code: 23121330
Label: Multiple-walled insulating units of glass </t>
        </r>
      </text>
    </comment>
    <comment ref="B74" authorId="0" shapeId="0">
      <text>
        <r>
          <rPr>
            <sz val="9"/>
            <color indexed="81"/>
            <rFont val="Tahoma"/>
            <family val="2"/>
          </rPr>
          <t xml:space="preserve">PRODCOM, Eurostat, 2020
Code: 23121330
Label: Multiple-walled insulating units of glass </t>
        </r>
      </text>
    </comment>
    <comment ref="B75" authorId="0" shapeId="0">
      <text>
        <r>
          <rPr>
            <sz val="9"/>
            <color indexed="81"/>
            <rFont val="Tahoma"/>
            <family val="2"/>
          </rPr>
          <t xml:space="preserve">PRODCOM, Eurostat, 2020
Code: 23121330
Label: Multiple-walled insulating units of glass </t>
        </r>
      </text>
    </comment>
    <comment ref="B76" authorId="0" shapeId="0">
      <text>
        <r>
          <rPr>
            <sz val="9"/>
            <color indexed="81"/>
            <rFont val="Tahoma"/>
            <family val="2"/>
          </rPr>
          <t xml:space="preserve">PRODCOM, Eurostat, 2020
Code: 23121330
Label: Multiple-walled insulating units of glass </t>
        </r>
      </text>
    </comment>
    <comment ref="B77" authorId="0" shapeId="0">
      <text>
        <r>
          <rPr>
            <sz val="9"/>
            <color indexed="81"/>
            <rFont val="Tahoma"/>
            <family val="2"/>
          </rPr>
          <t xml:space="preserve">PRODCOM, Eurostat, 2020
Code: 23121330
Label: Multiple-walled insulating units of glass </t>
        </r>
      </text>
    </comment>
    <comment ref="B79" authorId="0" shapeId="0">
      <text>
        <r>
          <rPr>
            <sz val="9"/>
            <color indexed="81"/>
            <rFont val="Tahoma"/>
            <family val="2"/>
          </rPr>
          <t xml:space="preserve">PRODCOM, Eurostat, 2020
Code: 23121330
Label: Multiple-walled insulating units of glass </t>
        </r>
      </text>
    </comment>
    <comment ref="B80" authorId="0" shapeId="0">
      <text>
        <r>
          <rPr>
            <sz val="9"/>
            <color indexed="81"/>
            <rFont val="Tahoma"/>
            <family val="2"/>
          </rPr>
          <t xml:space="preserve">PRODCOM, Eurostat, 2020
Code: 23121330
Label: Multiple-walled insulating units of glass </t>
        </r>
      </text>
    </comment>
  </commentList>
</comments>
</file>

<file path=xl/comments10.xml><?xml version="1.0" encoding="utf-8"?>
<comments xmlns="http://schemas.openxmlformats.org/spreadsheetml/2006/main">
  <authors>
    <author>jean</author>
  </authors>
  <commentList>
    <comment ref="B1" authorId="0" shapeId="0">
      <text>
        <r>
          <rPr>
            <sz val="9"/>
            <color indexed="81"/>
            <rFont val="Tahoma"/>
            <family val="2"/>
          </rPr>
          <t xml:space="preserve">Unless otherwise indicated in a note attached to the cell, all data collected in this column comes from: 
PRODCOM, Eurostat, 2020
Code: 23121330
Label: Multiple-walled insulating units of glass </t>
        </r>
      </text>
    </comment>
  </commentList>
</comments>
</file>

<file path=xl/comments11.xml><?xml version="1.0" encoding="utf-8"?>
<comments xmlns="http://schemas.openxmlformats.org/spreadsheetml/2006/main">
  <authors>
    <author>jean</author>
  </authors>
  <commentList>
    <comment ref="B1" authorId="0" shapeId="0">
      <text>
        <r>
          <rPr>
            <sz val="9"/>
            <color indexed="81"/>
            <rFont val="Tahoma"/>
            <family val="2"/>
          </rPr>
          <t xml:space="preserve">Unless otherwise indicated in a note attached to the cell, all data collected in this column comes from:
PRODCOM, Eurostat, 2020
Code: 23121330
Label: Multiple-walled insulating units of glass </t>
        </r>
      </text>
    </comment>
    <comment ref="B46" authorId="0" shapeId="0">
      <text>
        <r>
          <rPr>
            <sz val="9"/>
            <color indexed="81"/>
            <rFont val="Tahoma"/>
            <family val="2"/>
          </rPr>
          <t>Production industrielle: industrie du verre, Service des études et des statistiques industrielles</t>
        </r>
      </text>
    </comment>
    <comment ref="B47" authorId="0" shapeId="0">
      <text>
        <r>
          <rPr>
            <sz val="9"/>
            <color indexed="81"/>
            <rFont val="Tahoma"/>
            <family val="2"/>
          </rPr>
          <t>Production industrielle: industrie du verre, Service des études et des statistiques industrielles</t>
        </r>
      </text>
    </comment>
    <comment ref="B48" authorId="0" shapeId="0">
      <text>
        <r>
          <rPr>
            <sz val="9"/>
            <color indexed="81"/>
            <rFont val="Tahoma"/>
            <family val="2"/>
          </rPr>
          <t>Production industrielle: industrie du verre, Service des études et des statistiques industrielles</t>
        </r>
      </text>
    </comment>
    <comment ref="B49" authorId="0" shapeId="0">
      <text>
        <r>
          <rPr>
            <sz val="9"/>
            <color indexed="81"/>
            <rFont val="Tahoma"/>
            <family val="2"/>
          </rPr>
          <t>Production industrielle: industrie du verre, Service des études et des statistiques industrielles</t>
        </r>
      </text>
    </comment>
    <comment ref="B50" authorId="0" shapeId="0">
      <text>
        <r>
          <rPr>
            <sz val="9"/>
            <color indexed="81"/>
            <rFont val="Tahoma"/>
            <family val="2"/>
          </rPr>
          <t>Production industrielle: industrie du verre, Service des études et des statistiques industrielles</t>
        </r>
      </text>
    </comment>
  </commentList>
</comments>
</file>

<file path=xl/comments12.xml><?xml version="1.0" encoding="utf-8"?>
<comments xmlns="http://schemas.openxmlformats.org/spreadsheetml/2006/main">
  <authors>
    <author>jean</author>
  </authors>
  <commentList>
    <comment ref="B1" authorId="0" shapeId="0">
      <text>
        <r>
          <rPr>
            <sz val="9"/>
            <color indexed="81"/>
            <rFont val="Tahoma"/>
            <family val="2"/>
          </rPr>
          <t>INSEE</t>
        </r>
      </text>
    </comment>
  </commentList>
</comments>
</file>

<file path=xl/comments13.xml><?xml version="1.0" encoding="utf-8"?>
<comments xmlns="http://schemas.openxmlformats.org/spreadsheetml/2006/main">
  <authors>
    <author>jean</author>
  </authors>
  <commentList>
    <comment ref="B1" authorId="0" shapeId="0">
      <text>
        <r>
          <rPr>
            <sz val="9"/>
            <color indexed="81"/>
            <rFont val="Tahoma"/>
            <family val="2"/>
          </rPr>
          <t>Unless otherwise indicated in a note attached to the cell, all data collected in this column comes from:
Production industrielle: industrie du verre, Service des études et des statistiques industrielles, 1989-2004</t>
        </r>
      </text>
    </comment>
    <comment ref="B4" authorId="0" shapeId="0">
      <text>
        <r>
          <rPr>
            <sz val="9"/>
            <color indexed="81"/>
            <rFont val="Tahoma"/>
            <family val="2"/>
          </rPr>
          <t>(Piganiol, 1965)</t>
        </r>
      </text>
    </comment>
    <comment ref="C4" authorId="0" shapeId="0">
      <text>
        <r>
          <rPr>
            <sz val="9"/>
            <color indexed="81"/>
            <rFont val="Tahoma"/>
            <family val="2"/>
          </rPr>
          <t>(Van de Voorde, 2016)</t>
        </r>
      </text>
    </comment>
    <comment ref="D4" authorId="0" shapeId="0">
      <text>
        <r>
          <rPr>
            <sz val="9"/>
            <color indexed="81"/>
            <rFont val="Tahoma"/>
            <family val="2"/>
          </rPr>
          <t>(Compagnie de Saint-Gobain, 1953)</t>
        </r>
      </text>
    </comment>
    <comment ref="B12" authorId="0" shapeId="0">
      <text>
        <r>
          <rPr>
            <sz val="9"/>
            <color indexed="81"/>
            <rFont val="Tahoma"/>
            <family val="2"/>
          </rPr>
          <t>(Piganiol, 1965)</t>
        </r>
      </text>
    </comment>
    <comment ref="C12" authorId="0" shapeId="0">
      <text>
        <r>
          <rPr>
            <sz val="9"/>
            <color indexed="81"/>
            <rFont val="Tahoma"/>
            <family val="2"/>
          </rPr>
          <t>(Van de Voorde, 2016)</t>
        </r>
      </text>
    </comment>
    <comment ref="D12" authorId="0" shapeId="0">
      <text>
        <r>
          <rPr>
            <sz val="9"/>
            <color indexed="81"/>
            <rFont val="Tahoma"/>
            <family val="2"/>
          </rPr>
          <t>(Compagnie de Saint-Gobain, 1953)</t>
        </r>
      </text>
    </comment>
    <comment ref="B62" authorId="0" shapeId="0">
      <text>
        <r>
          <rPr>
            <sz val="9"/>
            <color indexed="81"/>
            <rFont val="Tahoma"/>
            <family val="2"/>
          </rPr>
          <t>(Leysens, 2010)
(Hestin et al., 2016)
(Institut für Fenstertechnik, 2015)</t>
        </r>
      </text>
    </comment>
    <comment ref="C62" authorId="0" shapeId="0">
      <text>
        <r>
          <rPr>
            <sz val="9"/>
            <color indexed="81"/>
            <rFont val="Tahoma"/>
            <family val="2"/>
          </rPr>
          <t>(Leysens, 2010)
(Hestin et al., 2016)
(Institut für Fenstertechnik, 2015)</t>
        </r>
      </text>
    </comment>
    <comment ref="D62" authorId="0" shapeId="0">
      <text>
        <r>
          <rPr>
            <sz val="9"/>
            <color indexed="81"/>
            <rFont val="Tahoma"/>
            <family val="2"/>
          </rPr>
          <t>(Leysens, 2010)
(Hestin et al., 2016)
(Institut für Fenstertechnik, 2015)</t>
        </r>
      </text>
    </comment>
    <comment ref="B80" authorId="0" shapeId="0">
      <text>
        <r>
          <rPr>
            <sz val="9"/>
            <color indexed="81"/>
            <rFont val="Tahoma"/>
            <family val="2"/>
          </rPr>
          <t>(Private discussion with glass industries. According to them, since 2000, in France, average thickness is around 4-6mm per glass sheet)</t>
        </r>
      </text>
    </comment>
    <comment ref="C80" authorId="0" shapeId="0">
      <text>
        <r>
          <rPr>
            <sz val="9"/>
            <color indexed="81"/>
            <rFont val="Tahoma"/>
            <family val="2"/>
          </rPr>
          <t>(Private discussion with glass industries. According to them, since 2000, average thickness is around 6mm per glass sheet)</t>
        </r>
      </text>
    </comment>
    <comment ref="D80" authorId="0" shapeId="0">
      <text>
        <r>
          <rPr>
            <sz val="9"/>
            <color indexed="81"/>
            <rFont val="Tahoma"/>
            <family val="2"/>
          </rPr>
          <t>(Private discussion with glass industries. According to them, since 2000, average thickness is around 6mm per glass sheet)</t>
        </r>
      </text>
    </comment>
  </commentList>
</comments>
</file>

<file path=xl/comments14.xml><?xml version="1.0" encoding="utf-8"?>
<comments xmlns="http://schemas.openxmlformats.org/spreadsheetml/2006/main">
  <authors>
    <author>jean</author>
  </authors>
  <commentList>
    <comment ref="B1" authorId="0" shapeId="0">
      <text>
        <r>
          <rPr>
            <sz val="9"/>
            <color indexed="81"/>
            <rFont val="Tahoma"/>
            <family val="2"/>
          </rPr>
          <t>(Souviron and Khan, 2021)</t>
        </r>
      </text>
    </comment>
    <comment ref="C1" authorId="0" shapeId="0">
      <text>
        <r>
          <rPr>
            <sz val="9"/>
            <color indexed="81"/>
            <rFont val="Tahoma"/>
            <family val="2"/>
          </rPr>
          <t>(Souviron and Khan, 2021)</t>
        </r>
      </text>
    </comment>
    <comment ref="D1" authorId="0" shapeId="0">
      <text>
        <r>
          <rPr>
            <sz val="9"/>
            <color indexed="81"/>
            <rFont val="Tahoma"/>
            <family val="2"/>
          </rPr>
          <t>(Souviron and Khan, 2021)</t>
        </r>
      </text>
    </comment>
    <comment ref="E1" authorId="0" shapeId="0">
      <text>
        <r>
          <rPr>
            <sz val="9"/>
            <color indexed="81"/>
            <rFont val="Tahoma"/>
            <family val="2"/>
          </rPr>
          <t>(Souviron and Khan, 2021)</t>
        </r>
      </text>
    </comment>
    <comment ref="F1" authorId="0" shapeId="0">
      <text>
        <r>
          <rPr>
            <sz val="9"/>
            <color indexed="81"/>
            <rFont val="Tahoma"/>
            <family val="2"/>
          </rPr>
          <t>(Souviron and Khan, 2021)</t>
        </r>
      </text>
    </comment>
    <comment ref="G1" authorId="0" shapeId="0">
      <text>
        <r>
          <rPr>
            <sz val="9"/>
            <color indexed="81"/>
            <rFont val="Tahoma"/>
            <family val="2"/>
          </rPr>
          <t>(Souviron and Khan, 2021)</t>
        </r>
      </text>
    </comment>
    <comment ref="H1" authorId="0" shapeId="0">
      <text>
        <r>
          <rPr>
            <sz val="9"/>
            <color indexed="81"/>
            <rFont val="Tahoma"/>
            <family val="2"/>
          </rPr>
          <t>(Souviron and Khan, 2021)</t>
        </r>
      </text>
    </comment>
    <comment ref="I1" authorId="0" shapeId="0">
      <text>
        <r>
          <rPr>
            <sz val="9"/>
            <color indexed="81"/>
            <rFont val="Tahoma"/>
            <family val="2"/>
          </rPr>
          <t>(Souviron and Khan, 2021)</t>
        </r>
      </text>
    </comment>
  </commentList>
</comments>
</file>

<file path=xl/comments15.xml><?xml version="1.0" encoding="utf-8"?>
<comments xmlns="http://schemas.openxmlformats.org/spreadsheetml/2006/main">
  <authors>
    <author>jean</author>
  </authors>
  <commentList>
    <comment ref="B1" authorId="0" shapeId="0">
      <text>
        <r>
          <rPr>
            <sz val="9"/>
            <color indexed="81"/>
            <rFont val="Tahoma"/>
            <family val="2"/>
          </rPr>
          <t>(Souviron and Khan, 2021)</t>
        </r>
      </text>
    </comment>
    <comment ref="C1" authorId="0" shapeId="0">
      <text>
        <r>
          <rPr>
            <sz val="9"/>
            <color indexed="81"/>
            <rFont val="Tahoma"/>
            <family val="2"/>
          </rPr>
          <t>(Souviron and Khan, 2021)</t>
        </r>
      </text>
    </comment>
    <comment ref="D1" authorId="0" shapeId="0">
      <text>
        <r>
          <rPr>
            <sz val="9"/>
            <color indexed="81"/>
            <rFont val="Tahoma"/>
            <family val="2"/>
          </rPr>
          <t>(Souviron and Khan, 2021)</t>
        </r>
      </text>
    </comment>
    <comment ref="E1" authorId="0" shapeId="0">
      <text>
        <r>
          <rPr>
            <sz val="9"/>
            <color indexed="81"/>
            <rFont val="Tahoma"/>
            <family val="2"/>
          </rPr>
          <t>(Souviron and Khan, 2021)</t>
        </r>
      </text>
    </comment>
  </commentList>
</comments>
</file>

<file path=xl/comments16.xml><?xml version="1.0" encoding="utf-8"?>
<comments xmlns="http://schemas.openxmlformats.org/spreadsheetml/2006/main">
  <authors>
    <author>jean</author>
  </authors>
  <commentList>
    <comment ref="B1" authorId="0" shapeId="0">
      <text>
        <r>
          <rPr>
            <sz val="9"/>
            <color indexed="81"/>
            <rFont val="Tahoma"/>
            <family val="2"/>
          </rPr>
          <t>(Souviron and Khan)</t>
        </r>
      </text>
    </comment>
  </commentList>
</comments>
</file>

<file path=xl/comments17.xml><?xml version="1.0" encoding="utf-8"?>
<comments xmlns="http://schemas.openxmlformats.org/spreadsheetml/2006/main">
  <authors>
    <author>jean</author>
  </authors>
  <commentList>
    <comment ref="C1" authorId="0" shapeId="0">
      <text>
        <r>
          <rPr>
            <sz val="9"/>
            <color indexed="81"/>
            <rFont val="Tahoma"/>
            <family val="2"/>
          </rPr>
          <t>Unless otherwise indicated in a note attached to the cell, all data collected in this column comes from : Aperçu statistique de l'industrie verrière, 1960-1993, Fédération de l'industrie du verre, August 1994</t>
        </r>
      </text>
    </comment>
    <comment ref="B3" authorId="0" shapeId="0">
      <text>
        <r>
          <rPr>
            <sz val="9"/>
            <color indexed="81"/>
            <rFont val="Tahoma"/>
            <family val="2"/>
          </rPr>
          <t xml:space="preserve">Production of the first insulated glazing
</t>
        </r>
      </text>
    </comment>
    <comment ref="B15" authorId="0" shapeId="0">
      <text>
        <r>
          <rPr>
            <sz val="9"/>
            <color indexed="81"/>
            <rFont val="Tahoma"/>
            <family val="2"/>
          </rPr>
          <t>(Anon., 1958)</t>
        </r>
      </text>
    </comment>
    <comment ref="B27" authorId="0" shapeId="0">
      <text>
        <r>
          <rPr>
            <sz val="9"/>
            <color indexed="81"/>
            <rFont val="Tahoma"/>
            <family val="2"/>
          </rPr>
          <t>(Commission of the European Communities, 1984)</t>
        </r>
      </text>
    </comment>
    <comment ref="B28" authorId="0" shapeId="0">
      <text>
        <r>
          <rPr>
            <sz val="9"/>
            <color indexed="81"/>
            <rFont val="Tahoma"/>
            <family val="2"/>
          </rPr>
          <t>(Commission of the European Communities, 1984)</t>
        </r>
      </text>
    </comment>
    <comment ref="B29" authorId="0" shapeId="0">
      <text>
        <r>
          <rPr>
            <sz val="9"/>
            <color indexed="81"/>
            <rFont val="Tahoma"/>
            <family val="2"/>
          </rPr>
          <t>(Commission of the European Communities, 1984)</t>
        </r>
      </text>
    </comment>
    <comment ref="B30" authorId="0" shapeId="0">
      <text>
        <r>
          <rPr>
            <sz val="9"/>
            <color indexed="81"/>
            <rFont val="Tahoma"/>
            <family val="2"/>
          </rPr>
          <t>(Commission of the European Communities, 1984)</t>
        </r>
      </text>
    </comment>
    <comment ref="B31" authorId="0" shapeId="0">
      <text>
        <r>
          <rPr>
            <sz val="9"/>
            <color indexed="81"/>
            <rFont val="Tahoma"/>
            <family val="2"/>
          </rPr>
          <t>(Commission of the European Communities, 1984)</t>
        </r>
      </text>
    </comment>
    <comment ref="B32" authorId="0" shapeId="0">
      <text>
        <r>
          <rPr>
            <sz val="9"/>
            <color indexed="81"/>
            <rFont val="Tahoma"/>
            <family val="2"/>
          </rPr>
          <t>(Commission of the European Communities, 1984)</t>
        </r>
      </text>
    </comment>
    <comment ref="B33" authorId="0" shapeId="0">
      <text>
        <r>
          <rPr>
            <sz val="9"/>
            <color indexed="81"/>
            <rFont val="Tahoma"/>
            <family val="2"/>
          </rPr>
          <t>(Commission of the European Communities, 1984)</t>
        </r>
      </text>
    </comment>
    <comment ref="B34" authorId="0" shapeId="0">
      <text>
        <r>
          <rPr>
            <sz val="9"/>
            <color indexed="81"/>
            <rFont val="Tahoma"/>
            <family val="2"/>
          </rPr>
          <t>(Commission of the European Communities, 1984)</t>
        </r>
      </text>
    </comment>
    <comment ref="B35" authorId="0" shapeId="0">
      <text>
        <r>
          <rPr>
            <sz val="9"/>
            <color indexed="81"/>
            <rFont val="Tahoma"/>
            <family val="2"/>
          </rPr>
          <t>(Commission of the European Communities, 1984)</t>
        </r>
      </text>
    </comment>
    <comment ref="B36" authorId="0" shapeId="0">
      <text>
        <r>
          <rPr>
            <sz val="9"/>
            <color indexed="81"/>
            <rFont val="Tahoma"/>
            <family val="2"/>
          </rPr>
          <t>(Commission of the European Communities, 1984)</t>
        </r>
      </text>
    </comment>
    <comment ref="B37" authorId="0" shapeId="0">
      <text>
        <r>
          <rPr>
            <sz val="9"/>
            <color indexed="81"/>
            <rFont val="Tahoma"/>
            <family val="2"/>
          </rPr>
          <t>(Commission of the European Communities, 1984)</t>
        </r>
      </text>
    </comment>
    <comment ref="B38" authorId="0" shapeId="0">
      <text>
        <r>
          <rPr>
            <sz val="9"/>
            <color indexed="81"/>
            <rFont val="Tahoma"/>
            <family val="2"/>
          </rPr>
          <t>(Commission of the European Communities, 1984)</t>
        </r>
      </text>
    </comment>
    <comment ref="B39" authorId="0" shapeId="0">
      <text>
        <r>
          <rPr>
            <sz val="9"/>
            <color indexed="81"/>
            <rFont val="Tahoma"/>
            <family val="2"/>
          </rPr>
          <t>(Commission of the European Communities, 1984)</t>
        </r>
      </text>
    </comment>
  </commentList>
</comments>
</file>

<file path=xl/comments18.xml><?xml version="1.0" encoding="utf-8"?>
<comments xmlns="http://schemas.openxmlformats.org/spreadsheetml/2006/main">
  <authors>
    <author>jean</author>
  </authors>
  <commentList>
    <comment ref="C1" authorId="0" shapeId="0">
      <text>
        <r>
          <rPr>
            <sz val="9"/>
            <color indexed="81"/>
            <rFont val="Tahoma"/>
            <family val="2"/>
          </rPr>
          <t>Unless otherwise indicated in a note attached to the cell, all data collected in this column comes from : Aperçu statistique de l'industrie verrière, 1960-1993, Fédération de l'industrie du verre, August 1994</t>
        </r>
      </text>
    </comment>
    <comment ref="B3" authorId="0" shapeId="0">
      <text>
        <r>
          <rPr>
            <sz val="9"/>
            <color indexed="81"/>
            <rFont val="Tahoma"/>
            <family val="2"/>
          </rPr>
          <t xml:space="preserve">Production of the first insulated glazing
</t>
        </r>
      </text>
    </comment>
    <comment ref="B52"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53"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54"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55"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56"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57"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58"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59"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0"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1"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2"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3"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4"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5"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6"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7"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8"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69"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0"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2"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3"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4"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5"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6"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7"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79"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 ref="B80" authorId="0" shapeId="0">
      <text>
        <r>
          <rPr>
            <b/>
            <sz val="9"/>
            <color indexed="81"/>
            <rFont val="Tahoma"/>
            <family val="2"/>
          </rPr>
          <t>jean:</t>
        </r>
        <r>
          <rPr>
            <sz val="9"/>
            <color indexed="81"/>
            <rFont val="Tahoma"/>
            <family val="2"/>
          </rPr>
          <t xml:space="preserve">
PRODCOM Database, Eurostat.
Code: 23121330 - Multiple-walled insulating units of glass</t>
        </r>
      </text>
    </comment>
  </commentList>
</comments>
</file>

<file path=xl/comments19.xml><?xml version="1.0" encoding="utf-8"?>
<comments xmlns="http://schemas.openxmlformats.org/spreadsheetml/2006/main">
  <authors>
    <author>jean</author>
  </authors>
  <commentList>
    <comment ref="B1" authorId="0" shapeId="0">
      <text>
        <r>
          <rPr>
            <sz val="9"/>
            <color indexed="81"/>
            <rFont val="Tahoma"/>
            <family val="2"/>
          </rPr>
          <t>Unless otherwise indicated in a note attached to the cell, all data collected in this column comes from : Aperçu statistique de l'industrie verrière, 1960-1993, Fédération de l'industrie du verre, August 1994</t>
        </r>
      </text>
    </comment>
    <comment ref="C1" authorId="0" shapeId="0">
      <text>
        <r>
          <rPr>
            <sz val="9"/>
            <color indexed="81"/>
            <rFont val="Tahoma"/>
            <family val="2"/>
          </rPr>
          <t>Unless otherwise indicated in a note attached to the cell, all data collected in this column comes from:
PRODCOM Database, Eurostat.
Code: 23121330 - Multiple-walled insulating units of glass</t>
        </r>
      </text>
    </comment>
    <comment ref="B15" authorId="0" shapeId="0">
      <text>
        <r>
          <rPr>
            <sz val="9"/>
            <color indexed="81"/>
            <rFont val="Tahoma"/>
            <family val="2"/>
          </rPr>
          <t>L'industrie du verre en 1969, Rapport annuel, Fédération de l'industrie du verre, 1970</t>
        </r>
      </text>
    </comment>
    <comment ref="C15" authorId="0" shapeId="0">
      <text>
        <r>
          <rPr>
            <sz val="9"/>
            <color indexed="81"/>
            <rFont val="Tahoma"/>
            <family val="2"/>
          </rPr>
          <t>L'industrie du verre en 1969, Rapport annuel, Fédération de l'industrie du verre, 1970</t>
        </r>
      </text>
    </comment>
    <comment ref="B61" authorId="0" shapeId="0">
      <text>
        <r>
          <rPr>
            <sz val="9"/>
            <color indexed="81"/>
            <rFont val="Tahoma"/>
            <family val="2"/>
          </rPr>
          <t>Chiffres 2009, Fédération de l'industrie du verre, October 2010</t>
        </r>
      </text>
    </comment>
    <comment ref="B62" authorId="0" shapeId="0">
      <text>
        <r>
          <rPr>
            <sz val="9"/>
            <color indexed="81"/>
            <rFont val="Tahoma"/>
            <family val="2"/>
          </rPr>
          <t>Chiffres 2009, Fédération de l'industrie du verre, October 2010</t>
        </r>
      </text>
    </comment>
  </commentList>
</comments>
</file>

<file path=xl/comments20.xml><?xml version="1.0" encoding="utf-8"?>
<comments xmlns="http://schemas.openxmlformats.org/spreadsheetml/2006/main">
  <authors>
    <author>jean</author>
  </authors>
  <commentList>
    <comment ref="B1" authorId="0" shapeId="0">
      <text>
        <r>
          <rPr>
            <sz val="9"/>
            <color indexed="81"/>
            <rFont val="Tahoma"/>
            <family val="2"/>
          </rPr>
          <t>Unless otherwise indicated in a note attached to the cell, all data collected in this column comes from : Aperçu statistique de l'industrie verrière, 1960-1993, Fédération de l'industrie du verre, August 1994</t>
        </r>
      </text>
    </comment>
    <comment ref="C1" authorId="0" shapeId="0">
      <text>
        <r>
          <rPr>
            <sz val="9"/>
            <color indexed="81"/>
            <rFont val="Tahoma"/>
            <family val="2"/>
          </rPr>
          <t>Unless otherwise indicated in a note attached to the cell, all data collected in this column comes from:
PRODCOM Database, Eurostat.
Code: 23121330 - Multiple-walled insulating units of glass</t>
        </r>
      </text>
    </comment>
    <comment ref="B4" authorId="0" shapeId="0">
      <text>
        <r>
          <rPr>
            <b/>
            <sz val="9"/>
            <color indexed="81"/>
            <rFont val="Tahoma"/>
            <family val="2"/>
          </rPr>
          <t>Start of the production</t>
        </r>
      </text>
    </comment>
    <comment ref="C4" authorId="0" shapeId="0">
      <text>
        <r>
          <rPr>
            <sz val="9"/>
            <color indexed="81"/>
            <rFont val="Tahoma"/>
            <family val="2"/>
          </rPr>
          <t>Start of the production</t>
        </r>
      </text>
    </comment>
    <comment ref="B10" authorId="0" shapeId="0">
      <text>
        <r>
          <rPr>
            <sz val="9"/>
            <color indexed="81"/>
            <rFont val="Tahoma"/>
            <family val="2"/>
          </rPr>
          <t>L'industrie du verre, Rapport annuel, exercice 1965, Fédération de l'industrie du verre, 1966</t>
        </r>
      </text>
    </comment>
    <comment ref="B15" authorId="0" shapeId="0">
      <text>
        <r>
          <rPr>
            <sz val="9"/>
            <color indexed="81"/>
            <rFont val="Tahoma"/>
            <family val="2"/>
          </rPr>
          <t>L'industrie du verre, Rapport annuel, exercice 1965, Fédération de l'industrie du verre, 1966</t>
        </r>
      </text>
    </comment>
    <comment ref="B17" authorId="0" shapeId="0">
      <text>
        <r>
          <rPr>
            <sz val="9"/>
            <color indexed="81"/>
            <rFont val="Tahoma"/>
            <family val="2"/>
          </rPr>
          <t>L'industrie du verre, Rapport annuel, exercice 1965, Fédération de l'industrie du verre, 1966</t>
        </r>
      </text>
    </comment>
    <comment ref="B61" authorId="0" shapeId="0">
      <text>
        <r>
          <rPr>
            <sz val="9"/>
            <color indexed="81"/>
            <rFont val="Tahoma"/>
            <family val="2"/>
          </rPr>
          <t>Chiffres 2009, Fédération de l'industrie du verre, October 2010</t>
        </r>
      </text>
    </comment>
    <comment ref="B62" authorId="0" shapeId="0">
      <text>
        <r>
          <rPr>
            <sz val="9"/>
            <color indexed="81"/>
            <rFont val="Tahoma"/>
            <family val="2"/>
          </rPr>
          <t>Chiffres 2009, Fédération de l'industrie du verre, October 2010</t>
        </r>
      </text>
    </comment>
  </commentList>
</comments>
</file>

<file path=xl/comments21.xml><?xml version="1.0" encoding="utf-8"?>
<comments xmlns="http://schemas.openxmlformats.org/spreadsheetml/2006/main">
  <authors>
    <author>jean</author>
  </authors>
  <commentList>
    <comment ref="B4" authorId="0" shapeId="0">
      <text>
        <r>
          <rPr>
            <sz val="9"/>
            <color indexed="81"/>
            <rFont val="Tahoma"/>
            <family val="2"/>
          </rPr>
          <t>(Piganiol, 1965)</t>
        </r>
      </text>
    </comment>
    <comment ref="C4" authorId="0" shapeId="0">
      <text>
        <r>
          <rPr>
            <sz val="9"/>
            <color indexed="81"/>
            <rFont val="Tahoma"/>
            <family val="2"/>
          </rPr>
          <t>(Van de Voorde, 2016)</t>
        </r>
      </text>
    </comment>
    <comment ref="D4" authorId="0" shapeId="0">
      <text>
        <r>
          <rPr>
            <sz val="9"/>
            <color indexed="81"/>
            <rFont val="Tahoma"/>
            <family val="2"/>
          </rPr>
          <t>(Compagnie de Saint-Gobain, 1953)</t>
        </r>
      </text>
    </comment>
    <comment ref="B12" authorId="0" shapeId="0">
      <text>
        <r>
          <rPr>
            <sz val="9"/>
            <color indexed="81"/>
            <rFont val="Tahoma"/>
            <family val="2"/>
          </rPr>
          <t>(Piganiol, 1965)</t>
        </r>
      </text>
    </comment>
    <comment ref="C12" authorId="0" shapeId="0">
      <text>
        <r>
          <rPr>
            <sz val="9"/>
            <color indexed="81"/>
            <rFont val="Tahoma"/>
            <family val="2"/>
          </rPr>
          <t>(Van de Voorde, 2016)</t>
        </r>
      </text>
    </comment>
    <comment ref="D12" authorId="0" shapeId="0">
      <text>
        <r>
          <rPr>
            <sz val="9"/>
            <color indexed="81"/>
            <rFont val="Tahoma"/>
            <family val="2"/>
          </rPr>
          <t>(Compagnie de Saint-Gobain, 1953)</t>
        </r>
      </text>
    </comment>
    <comment ref="B62" authorId="0" shapeId="0">
      <text>
        <r>
          <rPr>
            <sz val="9"/>
            <color indexed="81"/>
            <rFont val="Tahoma"/>
            <family val="2"/>
          </rPr>
          <t>According to import and export data in 2004/2005</t>
        </r>
      </text>
    </comment>
    <comment ref="C62" authorId="0" shapeId="0">
      <text>
        <r>
          <rPr>
            <sz val="9"/>
            <color indexed="81"/>
            <rFont val="Tahoma"/>
            <family val="2"/>
          </rPr>
          <t>(Leysens, 2010)
(Hestin et al., 2016)
(Institut für Fenstertechnik, 2015)</t>
        </r>
      </text>
    </comment>
    <comment ref="D62" authorId="0" shapeId="0">
      <text>
        <r>
          <rPr>
            <sz val="9"/>
            <color indexed="81"/>
            <rFont val="Tahoma"/>
            <family val="2"/>
          </rPr>
          <t>(Leysens, 2010)
(Hestin et al., 2016)
(Institut für Fenstertechnik, 2015)</t>
        </r>
      </text>
    </comment>
    <comment ref="B77" authorId="0" shapeId="0">
      <text>
        <r>
          <rPr>
            <sz val="9"/>
            <color indexed="81"/>
            <rFont val="Tahoma"/>
            <family val="2"/>
          </rPr>
          <t>(Private discussion with glass industries. According to them, since 2000, in Belgium average thickness is around 5-6mm per glass sheet)</t>
        </r>
      </text>
    </comment>
    <comment ref="C77" authorId="0" shapeId="0">
      <text>
        <r>
          <rPr>
            <sz val="9"/>
            <color indexed="81"/>
            <rFont val="Tahoma"/>
            <family val="2"/>
          </rPr>
          <t>(Private discussion with glass industries. According to them, since 2000, in Belgium average thickness is around 5-6mm per glass sheet)</t>
        </r>
      </text>
    </comment>
    <comment ref="D77" authorId="0" shapeId="0">
      <text>
        <r>
          <rPr>
            <sz val="9"/>
            <color indexed="81"/>
            <rFont val="Tahoma"/>
            <family val="2"/>
          </rPr>
          <t>(Private discussion with glass industries. According to them, since 2000, in Belgium average thickness is around 5-6mm per glass sheet)</t>
        </r>
      </text>
    </comment>
  </commentList>
</comments>
</file>

<file path=xl/comments22.xml><?xml version="1.0" encoding="utf-8"?>
<comments xmlns="http://schemas.openxmlformats.org/spreadsheetml/2006/main">
  <authors>
    <author>jean</author>
  </authors>
  <commentList>
    <comment ref="B1" authorId="0" shapeId="0">
      <text>
        <r>
          <rPr>
            <sz val="9"/>
            <color indexed="81"/>
            <rFont val="Tahoma"/>
            <family val="2"/>
          </rPr>
          <t>(Souviron and Khan, 2021)</t>
        </r>
      </text>
    </comment>
    <comment ref="C1" authorId="0" shapeId="0">
      <text>
        <r>
          <rPr>
            <sz val="9"/>
            <color indexed="81"/>
            <rFont val="Tahoma"/>
            <family val="2"/>
          </rPr>
          <t>(Souviron and Khan, 2021)</t>
        </r>
      </text>
    </comment>
    <comment ref="D1" authorId="0" shapeId="0">
      <text>
        <r>
          <rPr>
            <sz val="9"/>
            <color indexed="81"/>
            <rFont val="Tahoma"/>
            <family val="2"/>
          </rPr>
          <t>(Souviron and Khan, 2021)</t>
        </r>
      </text>
    </comment>
    <comment ref="E1" authorId="0" shapeId="0">
      <text>
        <r>
          <rPr>
            <sz val="9"/>
            <color indexed="81"/>
            <rFont val="Tahoma"/>
            <family val="2"/>
          </rPr>
          <t>(Souviron and Khan, 2021)</t>
        </r>
      </text>
    </comment>
  </commentList>
</comments>
</file>

<file path=xl/comments23.xml><?xml version="1.0" encoding="utf-8"?>
<comments xmlns="http://schemas.openxmlformats.org/spreadsheetml/2006/main">
  <authors>
    <author>jean</author>
  </authors>
  <commentList>
    <comment ref="B1" authorId="0" shapeId="0">
      <text>
        <r>
          <rPr>
            <sz val="9"/>
            <color indexed="81"/>
            <rFont val="Tahoma"/>
            <family val="2"/>
          </rPr>
          <t>OECD Data:
https://data.oecd.org/pop/population.htm</t>
        </r>
      </text>
    </comment>
    <comment ref="B4" authorId="0" shapeId="0">
      <text>
        <r>
          <rPr>
            <sz val="9"/>
            <color indexed="81"/>
            <rFont val="Tahoma"/>
            <family val="2"/>
          </rPr>
          <t>La population de la Belgique, 1974, Société Belge de Démographie, Brussels : C.I.C.R.E.D.
http://www.cicred.org/Eng/Publications/pdf/c-c4.pdf</t>
        </r>
      </text>
    </comment>
  </commentList>
</comments>
</file>

<file path=xl/sharedStrings.xml><?xml version="1.0" encoding="utf-8"?>
<sst xmlns="http://schemas.openxmlformats.org/spreadsheetml/2006/main" count="188" uniqueCount="130">
  <si>
    <t>year</t>
  </si>
  <si>
    <t>IGU, "000 m²</t>
  </si>
  <si>
    <t>limestone, kg/kg</t>
  </si>
  <si>
    <t>dolomite, kg/kg</t>
  </si>
  <si>
    <t>sand, kg/kg</t>
  </si>
  <si>
    <t>feldspar, kg/kg</t>
  </si>
  <si>
    <t>CO2 glass ind, kg/t</t>
  </si>
  <si>
    <t>sodium sulfate, kg/kg</t>
  </si>
  <si>
    <t>internal cullet, kg/kg</t>
  </si>
  <si>
    <t>external cullet, kg/kg</t>
  </si>
  <si>
    <t>sodium carbonate, kg/kg</t>
  </si>
  <si>
    <t>electricity, GJ/t</t>
  </si>
  <si>
    <t>natural gas, GJ/t</t>
  </si>
  <si>
    <t>Population, x1000</t>
  </si>
  <si>
    <t>The reference of each entry is indicated in the "note" that is attached to the cell. When no note is given, please refer to the information available at the head of the column</t>
  </si>
  <si>
    <t>Anon., 1957. L’industrie du verre. La documentation française illustrée.</t>
  </si>
  <si>
    <t>Boaglio, M., 1990. Evolution des conditions de production dans l’industrie du verre en France de la révolution à nos jours. Contribution à l’étude des prix sur le long terme. Ph.D. dissertation, Conservatoire National des Arts et Métiers, Paris.</t>
  </si>
  <si>
    <t>CNPF, INSEE, 1971. Industries du verre, Monographies de l’industrie et du commerce en France. A.D.P., Paris. Bibliothèque de l’INSEE Alain Desrosières, Paris, call number 19980.</t>
  </si>
  <si>
    <t>European Environment Agency, Kuenen, J., 2016. Chapter 2.A.3. Glass Production. In: EMEP/EEA Air Pollutant Emission Inventory Guidebook 2016. Publications Office of the European Union, Luxembourg.</t>
  </si>
  <si>
    <t>Fédératon des chambres syndicales de l’industrie du verre, 1954. L’industrie du verre, Les monographies de la production française. Société Nouvelle Mercure, Paris.</t>
  </si>
  <si>
    <t>INSEE, 1981-1988. Production industrielle : industrie du verre. INSEE, Paris. Bibliothèque de l’INSEE Alain Desrosières, Paris, call number P FRA 1362 (9)</t>
  </si>
  <si>
    <t>Institut du verre, 1995-2000. Verre. Institut du verre-Prover, Paris. Bibliothèque nationale de France, Sciences et techniques department, call number 4-JO-52115.</t>
  </si>
  <si>
    <t>SESSI (Service des études et des statistiques industrielles), 1989-2004. Production industrielle : industrie du verre. INSEE, Paris. Bibliothèque nationale de France, Paris, Sciences et techniques department, call number 4-JO-59249.</t>
  </si>
  <si>
    <t xml:space="preserve">Commission of the European Communities, 1984. The glass industry in the European Economic Community. Energy audit No 4. OPOCE, Luxembourg. </t>
  </si>
  <si>
    <t>http://bookshop.europa.eu/uri?target=EUB:NOTICE:CDNA09287:FR:HTML</t>
  </si>
  <si>
    <t>https://ec.europa.eu/eurostat/web/prodcom/data/database</t>
  </si>
  <si>
    <t xml:space="preserve">Fédération des industries du verre, 2014. Rapport d’activité 2013. Fédération des chambres syndicales de l’industrie du verre, Paris. </t>
  </si>
  <si>
    <t>http://www.verre-avenir.fr/Espace-Communication/Espace-Presse/Communiques-de-presse</t>
  </si>
  <si>
    <t xml:space="preserve">Glass for Europe, 2020. 2050: Flat Glass in Climate-Neutral Europe. Triggering a Virtuous Cycle of  Decarbonisation. </t>
  </si>
  <si>
    <t>https://glassforeurope.com/2050-flat-glass-in-a-climate-neutral-europe/</t>
  </si>
  <si>
    <t xml:space="preserve">INSEE (Institut national de la statistique et des études économiques), 1953-2007. Annuaire statistique de la France. INSEE; Presses universitaires de France, Paris. Bibliothèque nationale de France, Paris, Collections de l’École nationale des ponts et chaussées, call number 2012-796. </t>
  </si>
  <si>
    <t>http://catalogue.bnf.fr/ark:/12148/cb34349577d</t>
  </si>
  <si>
    <t xml:space="preserve">INSEE, 1980. Les Comptes de l'industrie : la situation de l'industrie française en 1979. INSEE, Paris. Bibliothèque nationale de France, Paris, Les Collections de l'INSEE, call number 2016-242827. </t>
  </si>
  <si>
    <t>http://catalogue.bnf.fr/ark:/12148/cb35674553g</t>
  </si>
  <si>
    <t xml:space="preserve">INSEE, 1981. Les Comptes de l'industrie : la situation de l'industrie française en 1980. INSEE, Paris. Bibliothèque nationale de France, Paris, Les Collections de l'INSEE, call number 2016-244168. </t>
  </si>
  <si>
    <t>http://catalogue.bnf.fr/ark:/12148/cb35674554t</t>
  </si>
  <si>
    <t>https://glassforeurope.com/report-life-cycle-assessment-of-float-glass/</t>
  </si>
  <si>
    <t xml:space="preserve">Verre Online, 2004. Industrie du verre [WWW Document]. Verre Online. </t>
  </si>
  <si>
    <t>www.verreonline.fr</t>
  </si>
  <si>
    <t>(INSEE, 1953-2007)</t>
  </si>
  <si>
    <t>(Fédération des industries du verre, 2014)</t>
  </si>
  <si>
    <t>(Institut du verre, 1995-2000)</t>
  </si>
  <si>
    <t>(Verre Online, 2004)</t>
  </si>
  <si>
    <t>(INSEE, 1980)</t>
  </si>
  <si>
    <t>(CNPF, INSEE, 1971)</t>
  </si>
  <si>
    <t>(Boaglio, 1990)</t>
  </si>
  <si>
    <t>(INSEE, 1981-1988)</t>
  </si>
  <si>
    <t>(SESSI, 1989-2004)</t>
  </si>
  <si>
    <t>(Commission of the European Communities, 1984)</t>
  </si>
  <si>
    <t>(Fédératon des chambres syndicales de l’industrie du verre, 1954)</t>
  </si>
  <si>
    <t>(Anon., 1957)</t>
  </si>
  <si>
    <t>(European Environment Agency and Kuenen, 2016)</t>
  </si>
  <si>
    <t>(PE International, 2011)</t>
  </si>
  <si>
    <t>(Ligeron Sonovision, 2011)</t>
  </si>
  <si>
    <t>(Glass for Europe, 2020)</t>
  </si>
  <si>
    <t>(INSEE, 1981)</t>
  </si>
  <si>
    <t>REFERENCES</t>
  </si>
  <si>
    <t>fuel oil, GJ/t</t>
  </si>
  <si>
    <t>(Anon., 2007)</t>
  </si>
  <si>
    <t xml:space="preserve">Anon., 2007. L'industrie verrière française en 2006. Verre, 13 (6), 66-9. </t>
  </si>
  <si>
    <t>Ligeron Sonovision, 2011. Analyse de Cycle de Vie ‘cradle to gate’ d’un verre plat type float (Online EPD). Brussels: Glass for Europe.</t>
  </si>
  <si>
    <t xml:space="preserve">PE International, 2011. Life Cycle Assessment of Float Glass. EPD for Glass for Europe. </t>
  </si>
  <si>
    <t>(Tackels, 1993)</t>
  </si>
  <si>
    <t>Tackels, Guy, 1993. La dépollution des fours de verrerie : un nouveau défi pour les verriers français. Verre, 7 (5), 433-441.</t>
  </si>
  <si>
    <t>(VGI-FIV, 2001)</t>
  </si>
  <si>
    <t>Fédération de l'industrie du verre (VGI-FIV), 2001. La réduction des émissions de gaz à effet de serre.</t>
  </si>
  <si>
    <t>Total, GJ/t</t>
  </si>
  <si>
    <t>s</t>
  </si>
  <si>
    <t>(Souviron and Khan, 2021)</t>
  </si>
  <si>
    <t>Souviron, Jean and Ahmed Z Khan, 2021. "The Materiality of Transparency: An Environmental Analysis of the Architectural Flat Glass Industry since 1945 in Europe, France and Belgium," Resources, Conservation and Recycling.</t>
  </si>
  <si>
    <t>average thickness, mm</t>
  </si>
  <si>
    <t>Compagnie de Saint-Gobain, 1953. Éclairage naturel et isolation. Le matériau verre au service du bâtiment. Paris: Centre de documentation Saint-Gobain.</t>
  </si>
  <si>
    <t>(Compagnie de Saint-Gobain, 1953)</t>
  </si>
  <si>
    <t>min. thickness, mm</t>
  </si>
  <si>
    <t>max. thickness, mm</t>
  </si>
  <si>
    <t>(Eurostat, 2024)</t>
  </si>
  <si>
    <t xml:space="preserve">Eurostat, 2024, PRODCOM database. </t>
  </si>
  <si>
    <t>Journal of Industrial Ecology – www.wileyonlinelibrary.com/journal/jie</t>
  </si>
  <si>
    <r>
      <t xml:space="preserve">           </t>
    </r>
    <r>
      <rPr>
        <sz val="10.5"/>
        <color rgb="FF000000"/>
        <rFont val="Arial Rounded MT Bold"/>
        <family val="2"/>
      </rPr>
      <t>SUPPORTING INFORMATION FOR:</t>
    </r>
  </si>
  <si>
    <t>IGU, kt</t>
  </si>
  <si>
    <t>(VGI-FIV, 1994)</t>
  </si>
  <si>
    <t>Fédération de l'industrie du verre (VGI-FIV), 1994. Aperçu statistique de l'industrie verrière, 1960-1993.</t>
  </si>
  <si>
    <t>https://www.vgi-fiv.be/categorie_publication/economique/</t>
  </si>
  <si>
    <t>(Van de Voorde, 2016)</t>
  </si>
  <si>
    <t>Van de Voorde, Stepanie, 2016. "Glass and Glazing in Post-War Belgium (1945-70). The Rise of Double Glazing." In: Campbell, James, et al., Further Studies in the History of Construction: the Proceedings of the Third Annual Conference of the Construction History Society. Cambridge: Construction History Society, p. 429-40.</t>
  </si>
  <si>
    <t>(VGI-FIV, 1966)</t>
  </si>
  <si>
    <t>Fédération de l'industrie du verre (VGI-FIV), 1966. L'industrie du verre. Rapport annuel, exercice 1965.</t>
  </si>
  <si>
    <t>(Knoops, 1959)</t>
  </si>
  <si>
    <t>Knoops, É, 1959. L'industrie belge du verre en 1958. Bulletin de l'Institut de recherches économiques et sociales, 25 (4), 355-64</t>
  </si>
  <si>
    <t>(ICEDD, 2014)</t>
  </si>
  <si>
    <t>ICEDD, 2014. Bilan énergétique de la Wallonie 2012. Bilan de l'industrie et bilan global.</t>
  </si>
  <si>
    <t>https://energie.wallonie.be/servlet/Repository/spw_dgo4_energie_wallonie2012_bilanindustrieetbilanglobal_novembre2014_v2.pdf?ID=30744</t>
  </si>
  <si>
    <t>(FIV, 1970)</t>
  </si>
  <si>
    <t>Fédération de l'industrie du verre, 1970. L'industrie du verre en 1969. Brussels: Fédération de l'industrie du verre. Royal Library of Belgium, call number BD 25.971.</t>
  </si>
  <si>
    <t>(CCE, 1984)</t>
  </si>
  <si>
    <t>Commission des Communautés Européennes (CCE), 1984. L'industrie du verre dans la CEE.</t>
  </si>
  <si>
    <t>https://op.europa.eu/en/publication-detail/-/publication/9441267d-6d47-461a-bc38-494d8c007e02/language-fr</t>
  </si>
  <si>
    <t>(Anon., 1958)</t>
  </si>
  <si>
    <t>Anon., 1958. Le verre belge. Brussels: Fédération de l'industrie du verre. Royal Library of Belgium, call number B 14.280 1.</t>
  </si>
  <si>
    <t>Nbr of countries</t>
  </si>
  <si>
    <t>glazing, "000 m²</t>
  </si>
  <si>
    <t>non-residential glazing, "000 m²</t>
  </si>
  <si>
    <t>residential glazing, "000 m²</t>
  </si>
  <si>
    <t>(Dinesen et al., 1994)</t>
  </si>
  <si>
    <t>Dinesen, J. and S. Trabergy-Borup, 1994. An energy life cycle assessment model for building
design. Proceedings of the first international conference on buildings and the environment, CIB.</t>
  </si>
  <si>
    <t>(Ecofys et al., 2009)</t>
  </si>
  <si>
    <t>Ecofys, Fraunhofer ISI, Öko-Institut, 2009. Methodology for the Free Allocation of Emission Allowances in the EU ETS Post 2012: Sector Report for the Glass Industry. Brussels: The European Commission</t>
  </si>
  <si>
    <t>https://ec.europa.eu/clima/sites/default/files/ets/allowances/docs/bm_study-lime_en.pdf</t>
  </si>
  <si>
    <t>Ecoinvent database</t>
  </si>
  <si>
    <t>(Ecoinvent, 2022)</t>
  </si>
  <si>
    <t>(Egenhofer et al., 2014)</t>
  </si>
  <si>
    <t>Egenhofer et al., 2014. Final report for a study on composition and drivers of energy prices and costs in energy intensive industries: The case of the flat glass industry. Centre for European Policy Studies, Brussels.</t>
  </si>
  <si>
    <t>https://op.europa.eu/en/publication-detail/-/publication/b43ca37c-ae26-49f3-9341-7558a75d52da</t>
  </si>
  <si>
    <t>(EIPPC, 2013)</t>
  </si>
  <si>
    <t>The European Integrated Pollution Prevention and Control (EIPPC), 2013. Best Available Techniques (BAT) Reference Document for the Manufacture of Glass Industrial Emissions Directive 2010/75/EU: Integrated Pollution Prevention and Control. Publications Office, Luxembourg.</t>
  </si>
  <si>
    <t>https://publications.jrc.ec.europa.eu/repository/bitstream/JRC78091/lfna25786enn.pdf</t>
  </si>
  <si>
    <t>(Euractiv, 2020)</t>
  </si>
  <si>
    <t>Euractiv, 2020. Europe's Flat Glass Sector: An Industry Profile.</t>
  </si>
  <si>
    <t>www.euractiv.com/section/energy-environment/special_report/europes-flat-glass-sector-an-industry-profile/</t>
  </si>
  <si>
    <t>(Glass Alliance Europe, 2019)</t>
  </si>
  <si>
    <t>Glass Alliance Europe, 2019. Statistical Report 2018-2019.</t>
  </si>
  <si>
    <t>https://www.glassallianceeurope.eu/en/statistical-data</t>
  </si>
  <si>
    <t>Schmitz, A., Kamiński, J., Maria Scalet, B., Soria, A., 2011. 'Energy Consumption and CO2 Emissions of the European Glass Industry." Energy Policy 39, 142–155.</t>
  </si>
  <si>
    <t>(Schmitz et al., 2011)</t>
  </si>
  <si>
    <t>(Weir, 1998)</t>
  </si>
  <si>
    <t>Weir, G. F., 1998. Life Cycle Assessment of Multi-Glazed Windows. Phd, Edinburgh Napier University.</t>
  </si>
  <si>
    <t>(West et al., 2011)</t>
  </si>
  <si>
    <t>West, J., C. Atkinson and N. Howard, 1994. Embodied energy and carbon dioxide emissions
for building materials. Proceedings of the first international conference of building and
the environment, CIB.</t>
  </si>
  <si>
    <r>
      <t xml:space="preserve">Souviron, J. &amp; Stephan, A. Architectural Transparency, Energy Efficiency and the Environment: Insulating Glass Units and their Material, Energy and Carbon Footprints in the European Union, France and Belgium from 1945 to 2020. </t>
    </r>
    <r>
      <rPr>
        <i/>
        <sz val="14"/>
        <color rgb="FF000000"/>
        <rFont val="Arial"/>
        <family val="2"/>
      </rPr>
      <t xml:space="preserve">Journal of Industrial Ecology. </t>
    </r>
  </si>
  <si>
    <t>This supporting information provides the data – and their sources – used in this paper to estimate the consumption of IGUs in the EU, France and Belgium. These data are processed using a Python code presented in Supporting Information S2. The first sheet (References) lists the sources that are mobilized in the rest of the Excel files through notes attached to cells. The following sheets present a time series of the evolution of the flows of IGUs (consumption, production, import, export) as well as the material, energy and CO2 intensities of the flat glass manufacturing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</si>
</sst>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 #,##0.00_-;_-* &quot;-&quot;??_-;_-@_-"/>
    <numFmt numFmtId="164" formatCode="_-* #,##0_-;\-* #,##0_-;_-* &quot;-&quot;??_-;_-@_-"/>
    <numFmt numFmtId="165" formatCode="0.0"/>
    <numFmt numFmtId="166" formatCode="0.000"/>
    <numFmt numFmtId="167" formatCode="_-* #,##0.000_-;\-* #,##0.000_-;_-* &quot;-&quot;??_-;_-@_-"/>
    <numFmt numFmtId="168" formatCode="0.0000"/>
    <numFmt numFmtId="169" formatCode="_-* #,##0.0_-;\-* #,##0.0_-;_-* &quot;-&quot;??_-;_-@_-"/>
    <numFmt numFmtId="170"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9"/>
      <color indexed="81"/>
      <name val="Tahoma"/>
      <family val="2"/>
    </font>
    <font>
      <sz val="11"/>
      <name val="Calibri"/>
      <family val="2"/>
      <scheme val="minor"/>
    </font>
    <font>
      <i/>
      <sz val="11"/>
      <name val="Calibri"/>
      <family val="2"/>
      <scheme val="minor"/>
    </font>
    <font>
      <u/>
      <sz val="11"/>
      <color theme="10"/>
      <name val="Calibri"/>
      <family val="2"/>
      <scheme val="minor"/>
    </font>
    <font>
      <b/>
      <sz val="11"/>
      <color rgb="FFC00000"/>
      <name val="Calibri"/>
      <family val="2"/>
      <scheme val="minor"/>
    </font>
    <font>
      <u/>
      <sz val="10"/>
      <name val="Arial"/>
      <family val="2"/>
    </font>
    <font>
      <sz val="10"/>
      <name val="Arial"/>
      <family val="2"/>
    </font>
    <font>
      <sz val="14"/>
      <color rgb="FF000000"/>
      <name val="Arial"/>
      <family val="2"/>
    </font>
    <font>
      <sz val="10.5"/>
      <color rgb="FF000000"/>
      <name val="Arial Rounded MT Bold"/>
      <family val="2"/>
    </font>
    <font>
      <i/>
      <sz val="14"/>
      <color rgb="FF000000"/>
      <name val="Arial"/>
      <family val="2"/>
    </font>
    <font>
      <sz val="11"/>
      <color rgb="FF000000"/>
      <name val="Arial"/>
      <family val="2"/>
    </font>
    <font>
      <b/>
      <sz val="9"/>
      <color indexed="81"/>
      <name val="Tahoma"/>
      <family val="2"/>
    </font>
    <font>
      <b/>
      <sz val="11"/>
      <name val="Calibri"/>
      <family val="2"/>
      <scheme val="minor"/>
    </font>
    <font>
      <sz val="8"/>
      <color theme="1"/>
      <name val="Courier New"/>
      <family val="3"/>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cellStyleXfs>
  <cellXfs count="90">
    <xf numFmtId="0" fontId="0" fillId="0" borderId="0" xfId="0"/>
    <xf numFmtId="0" fontId="0" fillId="0" borderId="0" xfId="0" applyAlignment="1">
      <alignment horizontal="right"/>
    </xf>
    <xf numFmtId="0" fontId="0" fillId="0" borderId="0" xfId="0" applyAlignment="1">
      <alignment horizontal="center"/>
    </xf>
    <xf numFmtId="0" fontId="3" fillId="0" borderId="0" xfId="0" applyFont="1" applyAlignment="1">
      <alignment horizontal="right"/>
    </xf>
    <xf numFmtId="0" fontId="0" fillId="0" borderId="0" xfId="0" applyAlignment="1">
      <alignment horizontal="right" wrapText="1"/>
    </xf>
    <xf numFmtId="0" fontId="3" fillId="0" borderId="2" xfId="0" applyFont="1" applyBorder="1" applyAlignment="1">
      <alignment horizontal="right" wrapText="1"/>
    </xf>
    <xf numFmtId="164" fontId="0" fillId="0" borderId="0" xfId="1" applyNumberFormat="1" applyFont="1" applyBorder="1" applyAlignment="1">
      <alignment horizontal="right"/>
    </xf>
    <xf numFmtId="164" fontId="0" fillId="0" borderId="0" xfId="1" applyNumberFormat="1" applyFont="1" applyBorder="1" applyAlignment="1">
      <alignment horizontal="right" wrapText="1"/>
    </xf>
    <xf numFmtId="0" fontId="0" fillId="0" borderId="1" xfId="0" applyBorder="1" applyAlignment="1">
      <alignment horizontal="center"/>
    </xf>
    <xf numFmtId="0" fontId="3" fillId="0" borderId="3" xfId="0" applyFont="1" applyBorder="1" applyAlignment="1">
      <alignment horizontal="center"/>
    </xf>
    <xf numFmtId="0" fontId="3" fillId="0" borderId="3" xfId="0" applyFont="1" applyBorder="1" applyAlignment="1">
      <alignment horizontal="center" wrapText="1"/>
    </xf>
    <xf numFmtId="0" fontId="3" fillId="0" borderId="0" xfId="0" applyFont="1" applyAlignment="1">
      <alignment horizontal="right" wrapText="1"/>
    </xf>
    <xf numFmtId="2" fontId="5" fillId="0" borderId="0" xfId="0" applyNumberFormat="1" applyFont="1" applyAlignment="1">
      <alignment horizontal="right"/>
    </xf>
    <xf numFmtId="0" fontId="5" fillId="0" borderId="0" xfId="0" applyFont="1" applyAlignment="1">
      <alignment horizontal="right"/>
    </xf>
    <xf numFmtId="43" fontId="5" fillId="0" borderId="0" xfId="0" applyNumberFormat="1" applyFont="1" applyAlignment="1">
      <alignment horizontal="right"/>
    </xf>
    <xf numFmtId="1" fontId="5" fillId="0" borderId="0" xfId="0" applyNumberFormat="1" applyFont="1" applyAlignment="1">
      <alignment horizontal="right"/>
    </xf>
    <xf numFmtId="0" fontId="5" fillId="0" borderId="0" xfId="0" applyFont="1" applyAlignment="1">
      <alignment horizontal="center"/>
    </xf>
    <xf numFmtId="0" fontId="5" fillId="0" borderId="0" xfId="0" applyFont="1" applyAlignment="1">
      <alignment horizontal="right" wrapText="1"/>
    </xf>
    <xf numFmtId="0" fontId="6" fillId="0" borderId="0" xfId="0" applyFont="1" applyAlignment="1">
      <alignment horizontal="right" wrapText="1"/>
    </xf>
    <xf numFmtId="0" fontId="3" fillId="0" borderId="2" xfId="0" quotePrefix="1" applyFont="1" applyBorder="1" applyAlignment="1">
      <alignment horizontal="right" wrapText="1"/>
    </xf>
    <xf numFmtId="43" fontId="0" fillId="0" borderId="0" xfId="0" applyNumberFormat="1" applyAlignment="1">
      <alignment horizontal="right"/>
    </xf>
    <xf numFmtId="43" fontId="5" fillId="0" borderId="0" xfId="1" applyFont="1" applyFill="1" applyBorder="1" applyAlignment="1">
      <alignment horizontal="right"/>
    </xf>
    <xf numFmtId="0" fontId="0" fillId="0" borderId="0" xfId="0" applyAlignment="1">
      <alignment vertical="center" wrapText="1"/>
    </xf>
    <xf numFmtId="164" fontId="0" fillId="0" borderId="0" xfId="1" applyNumberFormat="1" applyFont="1" applyAlignment="1">
      <alignment vertical="center" wrapText="1"/>
    </xf>
    <xf numFmtId="164" fontId="0" fillId="0" borderId="0" xfId="0" applyNumberFormat="1" applyAlignment="1">
      <alignment horizontal="right" wrapText="1"/>
    </xf>
    <xf numFmtId="9" fontId="5" fillId="0" borderId="0" xfId="2" applyFont="1" applyFill="1" applyBorder="1" applyAlignment="1">
      <alignment horizontal="right"/>
    </xf>
    <xf numFmtId="168" fontId="5" fillId="0" borderId="0" xfId="0" applyNumberFormat="1" applyFont="1" applyAlignment="1">
      <alignment horizontal="right"/>
    </xf>
    <xf numFmtId="166" fontId="5" fillId="0" borderId="0" xfId="0" applyNumberFormat="1" applyFont="1" applyAlignment="1">
      <alignment horizontal="right"/>
    </xf>
    <xf numFmtId="11" fontId="5" fillId="0" borderId="0" xfId="0" applyNumberFormat="1" applyFont="1" applyAlignment="1">
      <alignment horizontal="right"/>
    </xf>
    <xf numFmtId="0" fontId="5" fillId="0" borderId="0" xfId="0" applyFont="1" applyAlignment="1">
      <alignment horizontal="left"/>
    </xf>
    <xf numFmtId="0" fontId="0" fillId="0" borderId="0" xfId="0" applyAlignment="1">
      <alignment vertical="top"/>
    </xf>
    <xf numFmtId="0" fontId="0" fillId="2" borderId="0" xfId="0" applyFill="1" applyAlignment="1">
      <alignment vertical="top"/>
    </xf>
    <xf numFmtId="0" fontId="8" fillId="0" borderId="0" xfId="0" applyFont="1" applyAlignment="1">
      <alignment vertical="top"/>
    </xf>
    <xf numFmtId="0" fontId="7" fillId="0" borderId="0" xfId="4" applyAlignment="1">
      <alignment vertical="top"/>
    </xf>
    <xf numFmtId="0" fontId="6" fillId="0" borderId="3" xfId="0" applyFont="1" applyBorder="1" applyAlignment="1">
      <alignment horizontal="center" wrapText="1"/>
    </xf>
    <xf numFmtId="0" fontId="6" fillId="0" borderId="2" xfId="0" applyFont="1" applyBorder="1" applyAlignment="1">
      <alignment horizontal="right" wrapText="1"/>
    </xf>
    <xf numFmtId="0" fontId="5" fillId="0" borderId="1" xfId="0" applyFont="1" applyBorder="1" applyAlignment="1">
      <alignment horizontal="center"/>
    </xf>
    <xf numFmtId="167" fontId="5" fillId="0" borderId="0" xfId="0" applyNumberFormat="1" applyFont="1" applyAlignment="1">
      <alignment horizontal="right"/>
    </xf>
    <xf numFmtId="165" fontId="5" fillId="0" borderId="0" xfId="0" applyNumberFormat="1" applyFont="1" applyAlignment="1">
      <alignment horizontal="right"/>
    </xf>
    <xf numFmtId="164" fontId="5" fillId="0" borderId="0" xfId="1" applyNumberFormat="1" applyFont="1" applyFill="1" applyBorder="1" applyAlignment="1">
      <alignment horizontal="right"/>
    </xf>
    <xf numFmtId="164" fontId="5" fillId="0" borderId="0" xfId="0" applyNumberFormat="1" applyFont="1" applyAlignment="1">
      <alignment horizontal="right"/>
    </xf>
    <xf numFmtId="3" fontId="5" fillId="0" borderId="0" xfId="0" applyNumberFormat="1" applyFont="1" applyAlignment="1">
      <alignment horizontal="right"/>
    </xf>
    <xf numFmtId="1" fontId="0" fillId="0" borderId="0" xfId="0" applyNumberFormat="1" applyAlignment="1">
      <alignment horizontal="right"/>
    </xf>
    <xf numFmtId="0" fontId="0" fillId="0" borderId="0" xfId="0" applyAlignment="1">
      <alignment vertical="top" wrapText="1"/>
    </xf>
    <xf numFmtId="0" fontId="2" fillId="2" borderId="0" xfId="0" applyFont="1" applyFill="1" applyAlignment="1">
      <alignment vertical="top" wrapText="1"/>
    </xf>
    <xf numFmtId="164" fontId="0" fillId="0" borderId="0" xfId="0" applyNumberFormat="1" applyAlignment="1">
      <alignment horizontal="right"/>
    </xf>
    <xf numFmtId="2" fontId="0" fillId="0" borderId="0" xfId="0" applyNumberFormat="1" applyAlignment="1">
      <alignment horizontal="right"/>
    </xf>
    <xf numFmtId="169" fontId="0" fillId="0" borderId="0" xfId="1" applyNumberFormat="1" applyFont="1" applyBorder="1" applyAlignment="1">
      <alignment horizontal="right"/>
    </xf>
    <xf numFmtId="0" fontId="7" fillId="0" borderId="0" xfId="4" applyAlignment="1">
      <alignment vertical="center"/>
    </xf>
    <xf numFmtId="0" fontId="9" fillId="0" borderId="0" xfId="0" applyFont="1" applyAlignment="1">
      <alignment vertical="center"/>
    </xf>
    <xf numFmtId="0" fontId="10" fillId="0" borderId="0" xfId="0" applyFont="1"/>
    <xf numFmtId="0" fontId="11" fillId="0" borderId="0" xfId="0" applyFont="1" applyAlignment="1">
      <alignment vertical="center"/>
    </xf>
    <xf numFmtId="0" fontId="11" fillId="0" borderId="0" xfId="0" applyFont="1" applyAlignment="1">
      <alignment horizontal="left" vertical="center" wrapText="1"/>
    </xf>
    <xf numFmtId="0" fontId="14" fillId="0" borderId="0" xfId="0" applyFont="1" applyAlignment="1">
      <alignment vertical="top" wrapText="1"/>
    </xf>
    <xf numFmtId="0" fontId="3" fillId="0" borderId="2" xfId="0" applyFont="1" applyBorder="1" applyAlignment="1">
      <alignment horizontal="center"/>
    </xf>
    <xf numFmtId="3" fontId="0" fillId="0" borderId="0" xfId="0" applyNumberFormat="1" applyAlignment="1">
      <alignment horizontal="right"/>
    </xf>
    <xf numFmtId="1" fontId="3" fillId="0" borderId="3" xfId="0" applyNumberFormat="1" applyFont="1" applyBorder="1" applyAlignment="1">
      <alignment horizontal="right" vertical="center"/>
    </xf>
    <xf numFmtId="1" fontId="3" fillId="0" borderId="0" xfId="0" applyNumberFormat="1" applyFont="1" applyAlignment="1">
      <alignment horizontal="right"/>
    </xf>
    <xf numFmtId="1" fontId="0" fillId="0" borderId="1" xfId="0" applyNumberFormat="1" applyBorder="1" applyAlignment="1">
      <alignment horizontal="right" vertical="center"/>
    </xf>
    <xf numFmtId="164" fontId="0" fillId="0" borderId="0" xfId="1" applyNumberFormat="1" applyFont="1" applyBorder="1" applyAlignment="1">
      <alignment horizontal="right" vertical="center"/>
    </xf>
    <xf numFmtId="9" fontId="0" fillId="0" borderId="0" xfId="2" applyFont="1" applyBorder="1" applyAlignment="1">
      <alignment horizontal="right"/>
    </xf>
    <xf numFmtId="164" fontId="0" fillId="0" borderId="0" xfId="1" applyNumberFormat="1" applyFont="1" applyBorder="1" applyAlignment="1">
      <alignment horizontal="right" vertical="center" wrapText="1"/>
    </xf>
    <xf numFmtId="3" fontId="0" fillId="0" borderId="0" xfId="0" applyNumberFormat="1"/>
    <xf numFmtId="164" fontId="2" fillId="0" borderId="0" xfId="1" applyNumberFormat="1" applyFont="1" applyBorder="1" applyAlignment="1">
      <alignment horizontal="right" vertical="center"/>
    </xf>
    <xf numFmtId="167" fontId="0" fillId="0" borderId="0" xfId="0" applyNumberFormat="1" applyAlignment="1">
      <alignment horizontal="right"/>
    </xf>
    <xf numFmtId="1" fontId="0" fillId="0" borderId="0" xfId="1" applyNumberFormat="1" applyFont="1" applyBorder="1" applyAlignment="1">
      <alignment horizontal="right" vertical="center"/>
    </xf>
    <xf numFmtId="1" fontId="0" fillId="0" borderId="0" xfId="0" applyNumberFormat="1" applyAlignment="1">
      <alignment horizontal="right" vertical="center"/>
    </xf>
    <xf numFmtId="0" fontId="0" fillId="0" borderId="0" xfId="1" applyNumberFormat="1" applyFont="1" applyBorder="1" applyAlignment="1">
      <alignment horizontal="right"/>
    </xf>
    <xf numFmtId="164" fontId="2" fillId="0" borderId="0" xfId="1" applyNumberFormat="1" applyFont="1" applyBorder="1" applyAlignment="1">
      <alignment horizontal="right"/>
    </xf>
    <xf numFmtId="0" fontId="16" fillId="0" borderId="0" xfId="0" applyFont="1" applyAlignment="1">
      <alignment horizontal="right"/>
    </xf>
    <xf numFmtId="0" fontId="17" fillId="0" borderId="0" xfId="0" applyFont="1"/>
    <xf numFmtId="43" fontId="0" fillId="0" borderId="0" xfId="0" applyNumberFormat="1"/>
    <xf numFmtId="164" fontId="0" fillId="0" borderId="0" xfId="1" applyNumberFormat="1" applyFont="1" applyFill="1" applyBorder="1" applyAlignment="1">
      <alignment horizontal="right"/>
    </xf>
    <xf numFmtId="0" fontId="0" fillId="0" borderId="0" xfId="0" applyAlignment="1">
      <alignment wrapText="1"/>
    </xf>
    <xf numFmtId="49" fontId="0" fillId="0" borderId="2" xfId="0" applyNumberFormat="1" applyBorder="1" applyAlignment="1">
      <alignment horizontal="center" wrapText="1"/>
    </xf>
    <xf numFmtId="49" fontId="0" fillId="0" borderId="3" xfId="0" applyNumberFormat="1" applyBorder="1" applyAlignment="1">
      <alignment horizontal="center" wrapText="1"/>
    </xf>
    <xf numFmtId="49" fontId="0" fillId="0" borderId="2" xfId="0" quotePrefix="1" applyNumberFormat="1" applyBorder="1" applyAlignment="1">
      <alignment horizontal="right" wrapText="1"/>
    </xf>
    <xf numFmtId="49" fontId="0" fillId="0" borderId="0" xfId="0" applyNumberFormat="1" applyAlignment="1">
      <alignment horizontal="right" wrapText="1"/>
    </xf>
    <xf numFmtId="164" fontId="0" fillId="0" borderId="0" xfId="0" applyNumberFormat="1" applyAlignment="1">
      <alignment horizontal="center"/>
    </xf>
    <xf numFmtId="164" fontId="0" fillId="0" borderId="0" xfId="1" applyNumberFormat="1" applyFont="1" applyAlignment="1">
      <alignment horizontal="center"/>
    </xf>
    <xf numFmtId="49" fontId="2" fillId="0" borderId="0" xfId="0" applyNumberFormat="1" applyFont="1" applyAlignment="1">
      <alignment horizontal="right"/>
    </xf>
    <xf numFmtId="0" fontId="0" fillId="0" borderId="0" xfId="0" applyAlignment="1">
      <alignment horizontal="center" wrapText="1"/>
    </xf>
    <xf numFmtId="49" fontId="3" fillId="0" borderId="2" xfId="0" applyNumberFormat="1" applyFont="1" applyBorder="1" applyAlignment="1">
      <alignment horizontal="center" wrapText="1"/>
    </xf>
    <xf numFmtId="170" fontId="0" fillId="0" borderId="0" xfId="2" applyNumberFormat="1" applyFont="1" applyBorder="1" applyAlignment="1">
      <alignment horizontal="right" wrapText="1"/>
    </xf>
    <xf numFmtId="164" fontId="5" fillId="0" borderId="0" xfId="1" applyNumberFormat="1" applyFont="1" applyBorder="1" applyAlignment="1">
      <alignment horizontal="right"/>
    </xf>
    <xf numFmtId="164" fontId="0" fillId="0" borderId="0" xfId="1" applyNumberFormat="1" applyFont="1" applyAlignment="1">
      <alignment horizontal="right"/>
    </xf>
    <xf numFmtId="166" fontId="0" fillId="0" borderId="0" xfId="0" applyNumberFormat="1" applyAlignment="1">
      <alignment horizontal="right"/>
    </xf>
    <xf numFmtId="9" fontId="0" fillId="0" borderId="0" xfId="2" applyFont="1" applyAlignment="1">
      <alignment horizontal="right"/>
    </xf>
    <xf numFmtId="0" fontId="11" fillId="0" borderId="0" xfId="0" applyFont="1" applyAlignment="1">
      <alignment horizontal="center" vertical="center" wrapText="1"/>
    </xf>
    <xf numFmtId="0" fontId="14" fillId="0" borderId="0" xfId="0" applyFont="1" applyAlignment="1">
      <alignment horizontal="left" vertical="top" wrapText="1"/>
    </xf>
  </cellXfs>
  <cellStyles count="5">
    <cellStyle name="Comma 2" xfId="3"/>
    <cellStyle name="Lien hypertexte" xfId="4" builtinId="8"/>
    <cellStyle name="Milliers" xfId="1" builtinId="3"/>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73025</xdr:colOff>
      <xdr:row>9</xdr:row>
      <xdr:rowOff>139700</xdr:rowOff>
    </xdr:from>
    <xdr:to>
      <xdr:col>15</xdr:col>
      <xdr:colOff>161925</xdr:colOff>
      <xdr:row>11</xdr:row>
      <xdr:rowOff>25400</xdr:rowOff>
    </xdr:to>
    <xdr:pic>
      <xdr:nvPicPr>
        <xdr:cNvPr id="2" name="Picture 1">
          <a:extLst>
            <a:ext uri="{FF2B5EF4-FFF2-40B4-BE49-F238E27FC236}">
              <a16:creationId xmlns:a16="http://schemas.microsoft.com/office/drawing/2014/main" id="{2DBCCB6C-99B3-45B6-90D4-7D9877118F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35925" y="2130425"/>
          <a:ext cx="29845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101600</xdr:rowOff>
    </xdr:from>
    <xdr:to>
      <xdr:col>7</xdr:col>
      <xdr:colOff>254000</xdr:colOff>
      <xdr:row>4</xdr:row>
      <xdr:rowOff>0</xdr:rowOff>
    </xdr:to>
    <xdr:pic>
      <xdr:nvPicPr>
        <xdr:cNvPr id="3" name="Picture 2" descr="esupp new graphic">
          <a:extLst>
            <a:ext uri="{FF2B5EF4-FFF2-40B4-BE49-F238E27FC236}">
              <a16:creationId xmlns:a16="http://schemas.microsoft.com/office/drawing/2014/main" id="{5544A3F7-85DD-410B-A085-BED6BFE941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2100"/>
          <a:ext cx="5321300" cy="54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7</xdr:row>
      <xdr:rowOff>114300</xdr:rowOff>
    </xdr:from>
    <xdr:to>
      <xdr:col>4</xdr:col>
      <xdr:colOff>342900</xdr:colOff>
      <xdr:row>8</xdr:row>
      <xdr:rowOff>25400</xdr:rowOff>
    </xdr:to>
    <xdr:pic>
      <xdr:nvPicPr>
        <xdr:cNvPr id="4" name="Object 5" hidden="1">
          <a:extLst>
            <a:ext uri="{FF2B5EF4-FFF2-40B4-BE49-F238E27FC236}">
              <a16:creationId xmlns:a16="http://schemas.microsoft.com/office/drawing/2014/main" id="{40CE373E-7450-4DBC-83A9-39686EFA9DAA}"/>
            </a:ext>
          </a:extLst>
        </xdr:cNvPr>
        <xdr:cNvPicPr>
          <a:picLocks noChangeAspect="1"/>
        </xdr:cNvPicPr>
      </xdr:nvPicPr>
      <xdr:blipFill>
        <a:blip xmlns:r="http://schemas.openxmlformats.org/officeDocument/2006/relationships" r:embed="rId3"/>
        <a:stretch>
          <a:fillRect/>
        </a:stretch>
      </xdr:blipFill>
      <xdr:spPr>
        <a:xfrm>
          <a:off x="0" y="1828800"/>
          <a:ext cx="3238500" cy="101600"/>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0</xdr:colOff>
          <xdr:row>6</xdr:row>
          <xdr:rowOff>123825</xdr:rowOff>
        </xdr:from>
        <xdr:to>
          <xdr:col>4</xdr:col>
          <xdr:colOff>247650</xdr:colOff>
          <xdr:row>7</xdr:row>
          <xdr:rowOff>161925</xdr:rowOff>
        </xdr:to>
        <xdr:sp macro="" textlink="">
          <xdr:nvSpPr>
            <xdr:cNvPr id="55297" name="Object 1" hidden="1">
              <a:extLst>
                <a:ext uri="{63B3BB69-23CF-44E3-9099-C40C66FF867C}">
                  <a14:compatExt spid="_x0000_s55297"/>
                </a:ext>
                <a:ext uri="{FF2B5EF4-FFF2-40B4-BE49-F238E27FC236}">
                  <a16:creationId xmlns:a16="http://schemas.microsoft.com/office/drawing/2014/main" id="{00000000-0008-0000-0000-000001D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www.wileyonlinelibrary.com/journal/jie" TargetMode="Externa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8" Type="http://schemas.openxmlformats.org/officeDocument/2006/relationships/hyperlink" Target="https://glassforeurope.com/report-life-cycle-assessment-of-float-glass/" TargetMode="External"/><Relationship Id="rId13" Type="http://schemas.openxmlformats.org/officeDocument/2006/relationships/hyperlink" Target="https://op.europa.eu/en/publication-detail/-/publication/9441267d-6d47-461a-bc38-494d8c007e02/language-fr" TargetMode="External"/><Relationship Id="rId18" Type="http://schemas.openxmlformats.org/officeDocument/2006/relationships/printerSettings" Target="../printerSettings/printerSettings1.bin"/><Relationship Id="rId3" Type="http://schemas.openxmlformats.org/officeDocument/2006/relationships/hyperlink" Target="https://glassforeurope.com/2050-flat-glass-in-a-climate-neutral-europe/" TargetMode="External"/><Relationship Id="rId7" Type="http://schemas.openxmlformats.org/officeDocument/2006/relationships/hyperlink" Target="https://glassforeurope.com/report-life-cycle-assessment-of-float-glass/" TargetMode="External"/><Relationship Id="rId12" Type="http://schemas.openxmlformats.org/officeDocument/2006/relationships/hyperlink" Target="https://energie.wallonie.be/servlet/Repository/spw_dgo4_energie_wallonie2012_bilanindustrieetbilanglobal_novembre2014_v2.pdf?ID=30744" TargetMode="External"/><Relationship Id="rId17" Type="http://schemas.openxmlformats.org/officeDocument/2006/relationships/hyperlink" Target="https://www.glassallianceeurope.eu/en/statistical-data" TargetMode="External"/><Relationship Id="rId2" Type="http://schemas.openxmlformats.org/officeDocument/2006/relationships/hyperlink" Target="http://www.verre-avenir.fr/Espace-Communication/Espace-Presse/Communiques-de-presse" TargetMode="External"/><Relationship Id="rId16" Type="http://schemas.openxmlformats.org/officeDocument/2006/relationships/hyperlink" Target="http://www.euractiv.com/section/energy-environment/special_report/europes-flat-glass-sector-an-industry-profile/" TargetMode="External"/><Relationship Id="rId1" Type="http://schemas.openxmlformats.org/officeDocument/2006/relationships/hyperlink" Target="https://ec.europa.eu/eurostat/web/prodcom/data/database" TargetMode="External"/><Relationship Id="rId6" Type="http://schemas.openxmlformats.org/officeDocument/2006/relationships/hyperlink" Target="http://catalogue.bnf.fr/ark:/12148/cb35674554t" TargetMode="External"/><Relationship Id="rId11" Type="http://schemas.openxmlformats.org/officeDocument/2006/relationships/hyperlink" Target="https://www.vgi-fiv.be/categorie_publication/economique/" TargetMode="External"/><Relationship Id="rId5" Type="http://schemas.openxmlformats.org/officeDocument/2006/relationships/hyperlink" Target="http://catalogue.bnf.fr/ark:/12148/cb35674553g" TargetMode="External"/><Relationship Id="rId15" Type="http://schemas.openxmlformats.org/officeDocument/2006/relationships/hyperlink" Target="https://publications.jrc.ec.europa.eu/repository/bitstream/JRC78091/lfna25786enn.pdf" TargetMode="External"/><Relationship Id="rId10" Type="http://schemas.openxmlformats.org/officeDocument/2006/relationships/hyperlink" Target="http://bookshop.europa.eu/uri?target=EUB:NOTICE:CDNA09287:FR:HTML" TargetMode="External"/><Relationship Id="rId4" Type="http://schemas.openxmlformats.org/officeDocument/2006/relationships/hyperlink" Target="http://catalogue.bnf.fr/ark:/12148/cb34349577d" TargetMode="External"/><Relationship Id="rId9" Type="http://schemas.openxmlformats.org/officeDocument/2006/relationships/hyperlink" Target="http://www.verreonline.fr/" TargetMode="External"/><Relationship Id="rId14" Type="http://schemas.openxmlformats.org/officeDocument/2006/relationships/hyperlink" Target="https://ec.europa.eu/clima/sites/default/files/ets/allowances/docs/bm_study-lime_en.pdf"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5.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6.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7.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8.v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9.v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0.v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1.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2.v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2"/>
  <sheetViews>
    <sheetView workbookViewId="0">
      <selection activeCell="G26" sqref="G26"/>
    </sheetView>
  </sheetViews>
  <sheetFormatPr baseColWidth="10" defaultColWidth="10.85546875" defaultRowHeight="15" x14ac:dyDescent="0.25"/>
  <cols>
    <col min="9" max="9" width="10.85546875" customWidth="1"/>
  </cols>
  <sheetData>
    <row r="1" spans="1:15" x14ac:dyDescent="0.25">
      <c r="A1" s="48" t="s">
        <v>77</v>
      </c>
      <c r="B1" s="49"/>
      <c r="C1" s="49"/>
      <c r="D1" s="49"/>
      <c r="E1" s="49"/>
      <c r="F1" s="49"/>
      <c r="G1" s="49"/>
      <c r="H1" s="50"/>
      <c r="I1" s="50"/>
      <c r="J1" s="50"/>
      <c r="K1" s="50"/>
      <c r="L1" s="50"/>
      <c r="M1" s="50"/>
    </row>
    <row r="2" spans="1:15" x14ac:dyDescent="0.25">
      <c r="A2" s="50"/>
      <c r="B2" s="50"/>
      <c r="C2" s="50"/>
      <c r="D2" s="50"/>
      <c r="E2" s="50"/>
      <c r="F2" s="50"/>
      <c r="G2" s="50"/>
      <c r="H2" s="50"/>
      <c r="I2" s="50"/>
      <c r="J2" s="50"/>
      <c r="K2" s="50"/>
      <c r="L2" s="50"/>
      <c r="M2" s="50"/>
    </row>
    <row r="3" spans="1:15" ht="18" x14ac:dyDescent="0.25">
      <c r="A3" s="51" t="s">
        <v>78</v>
      </c>
      <c r="B3" s="50"/>
      <c r="C3" s="50"/>
      <c r="D3" s="50"/>
      <c r="E3" s="50"/>
      <c r="F3" s="50"/>
      <c r="G3" s="50"/>
      <c r="H3" s="50"/>
      <c r="I3" s="50"/>
      <c r="J3" s="50"/>
      <c r="K3" s="50"/>
      <c r="L3" s="50"/>
      <c r="M3" s="50"/>
    </row>
    <row r="4" spans="1:15" ht="18" x14ac:dyDescent="0.25">
      <c r="A4" s="51"/>
      <c r="B4" s="50"/>
      <c r="C4" s="50"/>
      <c r="D4" s="50"/>
      <c r="E4" s="50"/>
      <c r="F4" s="50"/>
      <c r="G4" s="50"/>
      <c r="H4" s="50"/>
      <c r="I4" s="50"/>
      <c r="J4" s="50"/>
      <c r="K4" s="50"/>
      <c r="L4" s="50"/>
      <c r="M4" s="50"/>
    </row>
    <row r="5" spans="1:15" ht="18" customHeight="1" x14ac:dyDescent="0.25">
      <c r="A5" s="88" t="s">
        <v>128</v>
      </c>
      <c r="B5" s="88"/>
      <c r="C5" s="88"/>
      <c r="D5" s="88"/>
      <c r="E5" s="88"/>
      <c r="F5" s="88"/>
      <c r="G5" s="88"/>
      <c r="H5" s="88"/>
      <c r="I5" s="88"/>
      <c r="J5" s="88"/>
      <c r="K5" s="88"/>
      <c r="L5" s="88"/>
      <c r="M5" s="88"/>
      <c r="N5" s="88"/>
      <c r="O5" s="88"/>
    </row>
    <row r="6" spans="1:15" ht="15" customHeight="1" x14ac:dyDescent="0.25">
      <c r="A6" s="88"/>
      <c r="B6" s="88"/>
      <c r="C6" s="88"/>
      <c r="D6" s="88"/>
      <c r="E6" s="88"/>
      <c r="F6" s="88"/>
      <c r="G6" s="88"/>
      <c r="H6" s="88"/>
      <c r="I6" s="88"/>
      <c r="J6" s="88"/>
      <c r="K6" s="88"/>
      <c r="L6" s="88"/>
      <c r="M6" s="88"/>
      <c r="N6" s="88"/>
      <c r="O6" s="88"/>
    </row>
    <row r="7" spans="1:15" ht="18" x14ac:dyDescent="0.25">
      <c r="A7" s="52"/>
      <c r="B7" s="52"/>
      <c r="C7" s="52"/>
      <c r="D7" s="52"/>
      <c r="E7" s="52"/>
      <c r="F7" s="52"/>
      <c r="G7" s="52"/>
      <c r="H7" s="52"/>
      <c r="I7" s="52"/>
    </row>
    <row r="8" spans="1:15" x14ac:dyDescent="0.25">
      <c r="A8" s="50"/>
      <c r="B8" s="50"/>
      <c r="C8" s="50"/>
      <c r="D8" s="50"/>
      <c r="E8" s="50"/>
      <c r="F8" s="50"/>
      <c r="G8" s="50"/>
      <c r="H8" s="50"/>
      <c r="I8" s="50"/>
      <c r="J8" s="50"/>
      <c r="K8" s="50"/>
      <c r="L8" s="50"/>
      <c r="M8" s="50"/>
    </row>
    <row r="9" spans="1:15" ht="31.5" customHeight="1" x14ac:dyDescent="0.25">
      <c r="A9" s="89" t="s">
        <v>129</v>
      </c>
      <c r="B9" s="89"/>
      <c r="C9" s="89"/>
      <c r="D9" s="89"/>
      <c r="E9" s="89"/>
      <c r="F9" s="89"/>
      <c r="G9" s="89"/>
      <c r="H9" s="89"/>
      <c r="I9" s="89"/>
      <c r="J9" s="89"/>
      <c r="K9" s="89"/>
      <c r="L9" s="89"/>
      <c r="M9" s="89"/>
      <c r="N9" s="89"/>
      <c r="O9" s="89"/>
    </row>
    <row r="10" spans="1:15" ht="33" customHeight="1" x14ac:dyDescent="0.25">
      <c r="A10" s="89"/>
      <c r="B10" s="89"/>
      <c r="C10" s="89"/>
      <c r="D10" s="89"/>
      <c r="E10" s="89"/>
      <c r="F10" s="89"/>
      <c r="G10" s="89"/>
      <c r="H10" s="89"/>
      <c r="I10" s="89"/>
      <c r="J10" s="89"/>
      <c r="K10" s="89"/>
      <c r="L10" s="89"/>
      <c r="M10" s="89"/>
      <c r="N10" s="89"/>
      <c r="O10" s="89"/>
    </row>
    <row r="11" spans="1:15" x14ac:dyDescent="0.25">
      <c r="A11" s="53"/>
      <c r="B11" s="53"/>
      <c r="C11" s="53"/>
      <c r="D11" s="53"/>
      <c r="E11" s="53"/>
      <c r="F11" s="53"/>
      <c r="G11" s="53"/>
      <c r="H11" s="53"/>
      <c r="I11" s="53"/>
      <c r="J11" s="53"/>
      <c r="K11" s="53"/>
      <c r="L11" s="53"/>
      <c r="M11" s="53"/>
    </row>
    <row r="12" spans="1:15" x14ac:dyDescent="0.25">
      <c r="A12" s="53"/>
      <c r="B12" s="53"/>
      <c r="C12" s="53"/>
      <c r="D12" s="53"/>
      <c r="E12" s="53"/>
      <c r="F12" s="53"/>
      <c r="G12" s="53"/>
      <c r="H12" s="53"/>
      <c r="I12" s="53"/>
      <c r="J12" s="53"/>
      <c r="K12" s="53"/>
      <c r="L12" s="53"/>
      <c r="M12" s="53"/>
    </row>
  </sheetData>
  <mergeCells count="2">
    <mergeCell ref="A5:O6"/>
    <mergeCell ref="A9:O10"/>
  </mergeCells>
  <hyperlinks>
    <hyperlink ref="A1" r:id="rId1" display="2017 Journal of Industrial Ecology – www.wileyonlinelibrary.com/journal/jie"/>
  </hyperlinks>
  <pageMargins left="0.7" right="0.7" top="0.75" bottom="0.75" header="0.3" footer="0.3"/>
  <drawing r:id="rId2"/>
  <legacyDrawing r:id="rId3"/>
  <oleObjects>
    <mc:AlternateContent xmlns:mc="http://schemas.openxmlformats.org/markup-compatibility/2006">
      <mc:Choice Requires="x14">
        <oleObject progId="PBrush" shapeId="55297" r:id="rId4">
          <objectPr defaultSize="0" autoPict="0" r:id="rId5">
            <anchor moveWithCells="1" sizeWithCells="1">
              <from>
                <xdr:col>0</xdr:col>
                <xdr:colOff>0</xdr:colOff>
                <xdr:row>6</xdr:row>
                <xdr:rowOff>123825</xdr:rowOff>
              </from>
              <to>
                <xdr:col>4</xdr:col>
                <xdr:colOff>247650</xdr:colOff>
                <xdr:row>7</xdr:row>
                <xdr:rowOff>161925</xdr:rowOff>
              </to>
            </anchor>
          </objectPr>
        </oleObject>
      </mc:Choice>
      <mc:Fallback>
        <oleObject progId="PBrush" shapeId="5529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8"/>
  <sheetViews>
    <sheetView showGridLines="0" topLeftCell="A56" workbookViewId="0">
      <selection activeCell="E80" sqref="E80"/>
    </sheetView>
  </sheetViews>
  <sheetFormatPr baseColWidth="10" defaultColWidth="118.7109375" defaultRowHeight="15" x14ac:dyDescent="0.25"/>
  <cols>
    <col min="1" max="1" width="4.28515625" style="30" customWidth="1"/>
    <col min="2" max="2" width="60.5703125" style="30" bestFit="1" customWidth="1"/>
    <col min="3" max="3" width="89.140625" style="43" customWidth="1"/>
    <col min="4" max="4" width="86.140625" style="30" bestFit="1" customWidth="1"/>
    <col min="5" max="16384" width="118.7109375" style="30"/>
  </cols>
  <sheetData>
    <row r="2" spans="1:4" x14ac:dyDescent="0.25">
      <c r="B2" s="32" t="s">
        <v>56</v>
      </c>
    </row>
    <row r="3" spans="1:4" ht="30" x14ac:dyDescent="0.25">
      <c r="A3" s="31"/>
      <c r="B3" s="31"/>
      <c r="C3" s="44" t="s">
        <v>14</v>
      </c>
      <c r="D3" s="31"/>
    </row>
    <row r="6" spans="1:4" ht="30" x14ac:dyDescent="0.25">
      <c r="B6" s="30" t="s">
        <v>72</v>
      </c>
      <c r="C6" s="43" t="s">
        <v>71</v>
      </c>
    </row>
    <row r="8" spans="1:4" x14ac:dyDescent="0.25">
      <c r="B8" s="30" t="s">
        <v>50</v>
      </c>
      <c r="C8" s="43" t="s">
        <v>15</v>
      </c>
    </row>
    <row r="10" spans="1:4" customFormat="1" ht="30" x14ac:dyDescent="0.25">
      <c r="B10" s="30" t="s">
        <v>97</v>
      </c>
      <c r="C10" s="73" t="s">
        <v>98</v>
      </c>
      <c r="D10" s="30"/>
    </row>
    <row r="11" spans="1:4" customFormat="1" x14ac:dyDescent="0.25">
      <c r="B11" s="30"/>
      <c r="C11" s="73"/>
      <c r="D11" s="30"/>
    </row>
    <row r="12" spans="1:4" x14ac:dyDescent="0.25">
      <c r="B12" s="30" t="s">
        <v>58</v>
      </c>
      <c r="C12" s="43" t="s">
        <v>59</v>
      </c>
    </row>
    <row r="14" spans="1:4" ht="45" x14ac:dyDescent="0.25">
      <c r="B14" s="30" t="s">
        <v>45</v>
      </c>
      <c r="C14" s="43" t="s">
        <v>16</v>
      </c>
    </row>
    <row r="16" spans="1:4" x14ac:dyDescent="0.25">
      <c r="B16" s="30" t="s">
        <v>94</v>
      </c>
      <c r="C16" s="43" t="s">
        <v>95</v>
      </c>
      <c r="D16" s="33" t="s">
        <v>96</v>
      </c>
    </row>
    <row r="17" spans="2:4" customFormat="1" x14ac:dyDescent="0.25">
      <c r="B17" s="30"/>
      <c r="C17" s="73"/>
      <c r="D17" s="30"/>
    </row>
    <row r="18" spans="2:4" ht="30" x14ac:dyDescent="0.25">
      <c r="B18" s="30" t="s">
        <v>44</v>
      </c>
      <c r="C18" s="43" t="s">
        <v>17</v>
      </c>
    </row>
    <row r="20" spans="2:4" ht="30" x14ac:dyDescent="0.25">
      <c r="B20" s="30" t="s">
        <v>48</v>
      </c>
      <c r="C20" s="43" t="s">
        <v>23</v>
      </c>
      <c r="D20" s="33" t="s">
        <v>24</v>
      </c>
    </row>
    <row r="22" spans="2:4" ht="30" x14ac:dyDescent="0.25">
      <c r="B22" s="30" t="s">
        <v>72</v>
      </c>
      <c r="C22" s="43" t="s">
        <v>71</v>
      </c>
    </row>
    <row r="24" spans="2:4" ht="30" x14ac:dyDescent="0.25">
      <c r="B24" s="30" t="s">
        <v>103</v>
      </c>
      <c r="C24" s="43" t="s">
        <v>104</v>
      </c>
      <c r="D24" s="33"/>
    </row>
    <row r="25" spans="2:4" x14ac:dyDescent="0.25">
      <c r="D25" s="33"/>
    </row>
    <row r="26" spans="2:4" ht="45" x14ac:dyDescent="0.25">
      <c r="B26" s="30" t="s">
        <v>105</v>
      </c>
      <c r="C26" s="43" t="s">
        <v>106</v>
      </c>
      <c r="D26" s="33" t="s">
        <v>107</v>
      </c>
    </row>
    <row r="27" spans="2:4" x14ac:dyDescent="0.25">
      <c r="D27" s="33"/>
    </row>
    <row r="28" spans="2:4" x14ac:dyDescent="0.25">
      <c r="B28" s="30" t="s">
        <v>109</v>
      </c>
      <c r="C28" s="43" t="s">
        <v>108</v>
      </c>
      <c r="D28" s="33"/>
    </row>
    <row r="30" spans="2:4" ht="45" x14ac:dyDescent="0.25">
      <c r="B30" s="30" t="s">
        <v>110</v>
      </c>
      <c r="C30" s="43" t="s">
        <v>111</v>
      </c>
      <c r="D30" s="33" t="s">
        <v>112</v>
      </c>
    </row>
    <row r="31" spans="2:4" x14ac:dyDescent="0.25">
      <c r="D31" s="33"/>
    </row>
    <row r="32" spans="2:4" ht="60" x14ac:dyDescent="0.25">
      <c r="B32" s="30" t="s">
        <v>113</v>
      </c>
      <c r="C32" s="43" t="s">
        <v>114</v>
      </c>
      <c r="D32" s="33" t="s">
        <v>115</v>
      </c>
    </row>
    <row r="33" spans="2:4" x14ac:dyDescent="0.25">
      <c r="D33" s="33"/>
    </row>
    <row r="34" spans="2:4" x14ac:dyDescent="0.25">
      <c r="B34" s="30" t="s">
        <v>116</v>
      </c>
      <c r="C34" s="43" t="s">
        <v>117</v>
      </c>
      <c r="D34" s="33" t="s">
        <v>118</v>
      </c>
    </row>
    <row r="35" spans="2:4" x14ac:dyDescent="0.25">
      <c r="D35" s="33"/>
    </row>
    <row r="36" spans="2:4" ht="45" x14ac:dyDescent="0.25">
      <c r="B36" s="30" t="s">
        <v>51</v>
      </c>
      <c r="C36" s="43" t="s">
        <v>18</v>
      </c>
    </row>
    <row r="38" spans="2:4" x14ac:dyDescent="0.25">
      <c r="B38" s="30" t="s">
        <v>75</v>
      </c>
      <c r="C38" s="43" t="s">
        <v>76</v>
      </c>
      <c r="D38" s="33" t="s">
        <v>25</v>
      </c>
    </row>
    <row r="40" spans="2:4" ht="30" x14ac:dyDescent="0.25">
      <c r="B40" s="30" t="s">
        <v>49</v>
      </c>
      <c r="C40" s="43" t="s">
        <v>19</v>
      </c>
    </row>
    <row r="42" spans="2:4" ht="30" x14ac:dyDescent="0.25">
      <c r="B42" s="30" t="s">
        <v>40</v>
      </c>
      <c r="C42" s="43" t="s">
        <v>26</v>
      </c>
      <c r="D42" s="33" t="s">
        <v>27</v>
      </c>
    </row>
    <row r="43" spans="2:4" x14ac:dyDescent="0.25">
      <c r="D43" s="33"/>
    </row>
    <row r="44" spans="2:4" customFormat="1" ht="30" x14ac:dyDescent="0.25">
      <c r="B44" s="30" t="s">
        <v>92</v>
      </c>
      <c r="C44" s="73" t="s">
        <v>93</v>
      </c>
      <c r="D44" s="30"/>
    </row>
    <row r="45" spans="2:4" customFormat="1" x14ac:dyDescent="0.25">
      <c r="B45" s="30"/>
      <c r="C45" s="73"/>
      <c r="D45" s="33"/>
    </row>
    <row r="46" spans="2:4" ht="15.75" customHeight="1" x14ac:dyDescent="0.25">
      <c r="B46" s="30" t="s">
        <v>119</v>
      </c>
      <c r="C46" s="43" t="s">
        <v>120</v>
      </c>
      <c r="D46" s="33" t="s">
        <v>121</v>
      </c>
    </row>
    <row r="47" spans="2:4" ht="15.75" customHeight="1" x14ac:dyDescent="0.25">
      <c r="D47" s="33"/>
    </row>
    <row r="48" spans="2:4" ht="30" x14ac:dyDescent="0.25">
      <c r="B48" s="30" t="s">
        <v>54</v>
      </c>
      <c r="C48" s="43" t="s">
        <v>28</v>
      </c>
      <c r="D48" s="33" t="s">
        <v>29</v>
      </c>
    </row>
    <row r="49" spans="2:4" x14ac:dyDescent="0.25">
      <c r="D49" s="33"/>
    </row>
    <row r="50" spans="2:4" customFormat="1" x14ac:dyDescent="0.25">
      <c r="B50" s="30" t="s">
        <v>89</v>
      </c>
      <c r="C50" s="22" t="s">
        <v>90</v>
      </c>
      <c r="D50" s="33" t="s">
        <v>91</v>
      </c>
    </row>
    <row r="51" spans="2:4" customFormat="1" x14ac:dyDescent="0.25">
      <c r="B51" s="30"/>
      <c r="C51" s="22"/>
      <c r="D51" s="33"/>
    </row>
    <row r="52" spans="2:4" ht="45" x14ac:dyDescent="0.25">
      <c r="B52" s="30" t="s">
        <v>39</v>
      </c>
      <c r="C52" s="43" t="s">
        <v>30</v>
      </c>
      <c r="D52" s="33" t="s">
        <v>31</v>
      </c>
    </row>
    <row r="53" spans="2:4" x14ac:dyDescent="0.25">
      <c r="D53" s="33"/>
    </row>
    <row r="54" spans="2:4" ht="30" x14ac:dyDescent="0.25">
      <c r="B54" s="30" t="s">
        <v>43</v>
      </c>
      <c r="C54" s="43" t="s">
        <v>32</v>
      </c>
      <c r="D54" s="33" t="s">
        <v>33</v>
      </c>
    </row>
    <row r="55" spans="2:4" x14ac:dyDescent="0.25">
      <c r="D55" s="33"/>
    </row>
    <row r="56" spans="2:4" ht="30" x14ac:dyDescent="0.25">
      <c r="B56" s="30" t="s">
        <v>55</v>
      </c>
      <c r="C56" s="43" t="s">
        <v>34</v>
      </c>
      <c r="D56" s="33" t="s">
        <v>35</v>
      </c>
    </row>
    <row r="57" spans="2:4" x14ac:dyDescent="0.25">
      <c r="D57" s="33"/>
    </row>
    <row r="58" spans="2:4" ht="30" x14ac:dyDescent="0.25">
      <c r="B58" s="30" t="s">
        <v>46</v>
      </c>
      <c r="C58" s="43" t="s">
        <v>20</v>
      </c>
    </row>
    <row r="60" spans="2:4" ht="30" x14ac:dyDescent="0.25">
      <c r="B60" s="30" t="s">
        <v>41</v>
      </c>
      <c r="C60" s="43" t="s">
        <v>21</v>
      </c>
    </row>
    <row r="62" spans="2:4" customFormat="1" ht="30" x14ac:dyDescent="0.25">
      <c r="B62" s="30" t="s">
        <v>87</v>
      </c>
      <c r="C62" s="22" t="s">
        <v>88</v>
      </c>
      <c r="D62" s="33"/>
    </row>
    <row r="63" spans="2:4" customFormat="1" x14ac:dyDescent="0.25">
      <c r="B63" s="30"/>
      <c r="C63" s="22"/>
      <c r="D63" s="33"/>
    </row>
    <row r="64" spans="2:4" ht="30" x14ac:dyDescent="0.25">
      <c r="B64" s="30" t="s">
        <v>53</v>
      </c>
      <c r="C64" s="43" t="s">
        <v>60</v>
      </c>
      <c r="D64" s="33" t="s">
        <v>36</v>
      </c>
    </row>
    <row r="66" spans="2:4" x14ac:dyDescent="0.25">
      <c r="B66" s="30" t="s">
        <v>52</v>
      </c>
      <c r="C66" s="43" t="s">
        <v>61</v>
      </c>
      <c r="D66" s="33" t="s">
        <v>36</v>
      </c>
    </row>
    <row r="67" spans="2:4" x14ac:dyDescent="0.25">
      <c r="D67" s="33"/>
    </row>
    <row r="68" spans="2:4" ht="45" x14ac:dyDescent="0.25">
      <c r="B68" s="30" t="s">
        <v>47</v>
      </c>
      <c r="C68" s="43" t="s">
        <v>22</v>
      </c>
    </row>
    <row r="70" spans="2:4" ht="30" x14ac:dyDescent="0.25">
      <c r="B70" s="30" t="s">
        <v>123</v>
      </c>
      <c r="C70" s="43" t="s">
        <v>122</v>
      </c>
    </row>
    <row r="72" spans="2:4" ht="45" x14ac:dyDescent="0.25">
      <c r="B72" s="30" t="s">
        <v>68</v>
      </c>
      <c r="C72" s="43" t="s">
        <v>69</v>
      </c>
    </row>
    <row r="74" spans="2:4" ht="30" x14ac:dyDescent="0.25">
      <c r="B74" s="30" t="s">
        <v>62</v>
      </c>
      <c r="C74" s="43" t="s">
        <v>63</v>
      </c>
    </row>
    <row r="76" spans="2:4" customFormat="1" ht="60" x14ac:dyDescent="0.25">
      <c r="B76" s="30" t="s">
        <v>83</v>
      </c>
      <c r="C76" s="73" t="s">
        <v>84</v>
      </c>
      <c r="D76" s="33"/>
    </row>
    <row r="77" spans="2:4" customFormat="1" x14ac:dyDescent="0.25">
      <c r="B77" s="30"/>
      <c r="C77" s="73"/>
      <c r="D77" s="30"/>
    </row>
    <row r="78" spans="2:4" x14ac:dyDescent="0.25">
      <c r="B78" s="30" t="s">
        <v>42</v>
      </c>
      <c r="C78" s="43" t="s">
        <v>37</v>
      </c>
      <c r="D78" s="33" t="s">
        <v>38</v>
      </c>
    </row>
    <row r="80" spans="2:4" customFormat="1" ht="30" x14ac:dyDescent="0.25">
      <c r="B80" s="30" t="s">
        <v>85</v>
      </c>
      <c r="C80" s="22" t="s">
        <v>86</v>
      </c>
      <c r="D80" s="33"/>
    </row>
    <row r="81" spans="2:4" customFormat="1" x14ac:dyDescent="0.25">
      <c r="B81" s="30"/>
      <c r="C81" s="22"/>
      <c r="D81" s="33"/>
    </row>
    <row r="82" spans="2:4" customFormat="1" ht="30" x14ac:dyDescent="0.25">
      <c r="B82" s="30" t="s">
        <v>80</v>
      </c>
      <c r="C82" s="73" t="s">
        <v>81</v>
      </c>
      <c r="D82" s="33" t="s">
        <v>82</v>
      </c>
    </row>
    <row r="83" spans="2:4" customFormat="1" x14ac:dyDescent="0.25">
      <c r="B83" s="30"/>
      <c r="C83" s="22"/>
      <c r="D83" s="33"/>
    </row>
    <row r="84" spans="2:4" ht="30" x14ac:dyDescent="0.25">
      <c r="B84" s="30" t="s">
        <v>64</v>
      </c>
      <c r="C84" s="43" t="s">
        <v>65</v>
      </c>
    </row>
    <row r="86" spans="2:4" ht="30" x14ac:dyDescent="0.25">
      <c r="B86" s="30" t="s">
        <v>124</v>
      </c>
      <c r="C86" s="43" t="s">
        <v>125</v>
      </c>
    </row>
    <row r="88" spans="2:4" ht="45" x14ac:dyDescent="0.25">
      <c r="B88" s="30" t="s">
        <v>126</v>
      </c>
      <c r="C88" s="43" t="s">
        <v>127</v>
      </c>
    </row>
  </sheetData>
  <hyperlinks>
    <hyperlink ref="D38" r:id="rId1"/>
    <hyperlink ref="D42" r:id="rId2"/>
    <hyperlink ref="D48" r:id="rId3"/>
    <hyperlink ref="D52" r:id="rId4"/>
    <hyperlink ref="D54" r:id="rId5"/>
    <hyperlink ref="D56" r:id="rId6"/>
    <hyperlink ref="D64" r:id="rId7"/>
    <hyperlink ref="D66" r:id="rId8"/>
    <hyperlink ref="D78" r:id="rId9" display="http://www.verreonline.fr/"/>
    <hyperlink ref="D20" r:id="rId10"/>
    <hyperlink ref="D82" r:id="rId11"/>
    <hyperlink ref="D50" r:id="rId12"/>
    <hyperlink ref="D16" r:id="rId13"/>
    <hyperlink ref="D26" r:id="rId14"/>
    <hyperlink ref="D32" r:id="rId15"/>
    <hyperlink ref="D34" r:id="rId16"/>
    <hyperlink ref="D46" r:id="rId17"/>
  </hyperlinks>
  <pageMargins left="0.7" right="0.7" top="0.75" bottom="0.75" header="0.3" footer="0.3"/>
  <pageSetup paperSize="9" orientation="portrait" horizontalDpi="1200" verticalDpi="1200" r:id="rId1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T93"/>
  <sheetViews>
    <sheetView zoomScale="85" zoomScaleNormal="85" workbookViewId="0">
      <pane xSplit="2" ySplit="1" topLeftCell="C57" activePane="bottomRight" state="frozen"/>
      <selection pane="topRight" activeCell="C1" sqref="C1"/>
      <selection pane="bottomLeft" activeCell="A2" sqref="A2"/>
      <selection pane="bottomRight" activeCell="A81" sqref="A81:A86"/>
    </sheetView>
  </sheetViews>
  <sheetFormatPr baseColWidth="10" defaultColWidth="10.7109375" defaultRowHeight="15" x14ac:dyDescent="0.25"/>
  <cols>
    <col min="1" max="1" width="10.7109375" style="2"/>
    <col min="2" max="2" width="10.28515625" style="2" customWidth="1"/>
    <col min="3" max="5" width="20.5703125" style="2" customWidth="1"/>
    <col min="6" max="16384" width="10.7109375" style="1"/>
  </cols>
  <sheetData>
    <row r="1" spans="1:5" s="77" customFormat="1" ht="30" x14ac:dyDescent="0.25">
      <c r="A1" s="74" t="s">
        <v>99</v>
      </c>
      <c r="B1" s="75" t="s">
        <v>0</v>
      </c>
      <c r="C1" s="76" t="s">
        <v>100</v>
      </c>
      <c r="D1" s="76" t="s">
        <v>101</v>
      </c>
      <c r="E1" s="76" t="s">
        <v>102</v>
      </c>
    </row>
    <row r="2" spans="1:5" s="80" customFormat="1" x14ac:dyDescent="0.25">
      <c r="A2" s="2">
        <v>6</v>
      </c>
      <c r="B2" s="8">
        <v>1900</v>
      </c>
      <c r="C2" s="78">
        <f t="shared" ref="C2:C6" si="0">D2+E2</f>
        <v>1048500</v>
      </c>
      <c r="D2" s="79">
        <f>0.9*415*1000</f>
        <v>373500</v>
      </c>
      <c r="E2" s="79">
        <v>675000</v>
      </c>
    </row>
    <row r="3" spans="1:5" s="80" customFormat="1" x14ac:dyDescent="0.25">
      <c r="A3" s="2">
        <v>6</v>
      </c>
      <c r="B3" s="8">
        <v>1910</v>
      </c>
      <c r="C3" s="78">
        <f t="shared" si="0"/>
        <v>1318500</v>
      </c>
      <c r="D3" s="79">
        <v>463500</v>
      </c>
      <c r="E3" s="79">
        <v>855000</v>
      </c>
    </row>
    <row r="4" spans="1:5" s="80" customFormat="1" x14ac:dyDescent="0.25">
      <c r="A4" s="2">
        <v>6</v>
      </c>
      <c r="B4" s="8">
        <v>1920</v>
      </c>
      <c r="C4" s="78">
        <f t="shared" si="0"/>
        <v>1552500</v>
      </c>
      <c r="D4" s="79">
        <v>540000</v>
      </c>
      <c r="E4" s="79">
        <v>1012500</v>
      </c>
    </row>
    <row r="5" spans="1:5" s="80" customFormat="1" x14ac:dyDescent="0.25">
      <c r="A5" s="2">
        <v>6</v>
      </c>
      <c r="B5" s="8">
        <v>1930</v>
      </c>
      <c r="C5" s="78">
        <f t="shared" si="0"/>
        <v>1800000</v>
      </c>
      <c r="D5" s="79">
        <v>630000</v>
      </c>
      <c r="E5" s="79">
        <v>1170000</v>
      </c>
    </row>
    <row r="6" spans="1:5" s="80" customFormat="1" x14ac:dyDescent="0.25">
      <c r="A6" s="2">
        <v>6</v>
      </c>
      <c r="B6" s="8">
        <v>1940</v>
      </c>
      <c r="C6" s="78">
        <f t="shared" si="0"/>
        <v>1944000</v>
      </c>
      <c r="D6" s="79">
        <v>675000</v>
      </c>
      <c r="E6" s="79">
        <v>1269000</v>
      </c>
    </row>
    <row r="7" spans="1:5" x14ac:dyDescent="0.25">
      <c r="A7" s="2">
        <v>6</v>
      </c>
      <c r="B7" s="8">
        <v>1945</v>
      </c>
      <c r="D7" s="79"/>
      <c r="E7" s="1"/>
    </row>
    <row r="8" spans="1:5" x14ac:dyDescent="0.25">
      <c r="A8" s="2">
        <v>6</v>
      </c>
      <c r="B8" s="8">
        <v>1946</v>
      </c>
      <c r="D8" s="79"/>
      <c r="E8" s="1"/>
    </row>
    <row r="9" spans="1:5" x14ac:dyDescent="0.25">
      <c r="A9" s="2">
        <v>6</v>
      </c>
      <c r="B9" s="8">
        <v>1947</v>
      </c>
      <c r="D9" s="79"/>
      <c r="E9" s="1"/>
    </row>
    <row r="10" spans="1:5" x14ac:dyDescent="0.25">
      <c r="A10" s="2">
        <v>6</v>
      </c>
      <c r="B10" s="8">
        <v>1948</v>
      </c>
      <c r="D10" s="79"/>
      <c r="E10" s="1"/>
    </row>
    <row r="11" spans="1:5" x14ac:dyDescent="0.25">
      <c r="A11" s="2">
        <v>6</v>
      </c>
      <c r="B11" s="8">
        <v>1949</v>
      </c>
      <c r="D11" s="79"/>
      <c r="E11" s="1"/>
    </row>
    <row r="12" spans="1:5" x14ac:dyDescent="0.25">
      <c r="A12" s="2">
        <v>6</v>
      </c>
      <c r="B12" s="8">
        <v>1950</v>
      </c>
      <c r="C12" s="78">
        <f>D12+E12</f>
        <v>2047500</v>
      </c>
      <c r="D12" s="79">
        <v>675000</v>
      </c>
      <c r="E12" s="79">
        <v>1372500</v>
      </c>
    </row>
    <row r="13" spans="1:5" x14ac:dyDescent="0.25">
      <c r="A13" s="2">
        <v>6</v>
      </c>
      <c r="B13" s="8">
        <v>1951</v>
      </c>
      <c r="D13" s="79"/>
      <c r="E13" s="1"/>
    </row>
    <row r="14" spans="1:5" x14ac:dyDescent="0.25">
      <c r="A14" s="2">
        <v>6</v>
      </c>
      <c r="B14" s="8">
        <v>1952</v>
      </c>
      <c r="D14" s="79"/>
      <c r="E14" s="1"/>
    </row>
    <row r="15" spans="1:5" x14ac:dyDescent="0.25">
      <c r="A15" s="2">
        <v>6</v>
      </c>
      <c r="B15" s="8">
        <v>1953</v>
      </c>
      <c r="D15" s="79"/>
      <c r="E15" s="1"/>
    </row>
    <row r="16" spans="1:5" x14ac:dyDescent="0.25">
      <c r="A16" s="2">
        <v>6</v>
      </c>
      <c r="B16" s="8">
        <v>1954</v>
      </c>
      <c r="D16" s="79"/>
      <c r="E16" s="1"/>
    </row>
    <row r="17" spans="1:5" x14ac:dyDescent="0.25">
      <c r="A17" s="2">
        <v>6</v>
      </c>
      <c r="B17" s="8">
        <v>1955</v>
      </c>
      <c r="D17" s="79"/>
      <c r="E17" s="1"/>
    </row>
    <row r="18" spans="1:5" x14ac:dyDescent="0.25">
      <c r="A18" s="2">
        <v>6</v>
      </c>
      <c r="B18" s="8">
        <v>1956</v>
      </c>
      <c r="D18" s="79"/>
      <c r="E18" s="1"/>
    </row>
    <row r="19" spans="1:5" x14ac:dyDescent="0.25">
      <c r="A19" s="2">
        <v>6</v>
      </c>
      <c r="B19" s="8">
        <v>1957</v>
      </c>
      <c r="D19" s="79"/>
      <c r="E19" s="1"/>
    </row>
    <row r="20" spans="1:5" x14ac:dyDescent="0.25">
      <c r="A20" s="2">
        <v>6</v>
      </c>
      <c r="B20" s="8">
        <v>1958</v>
      </c>
      <c r="D20" s="79"/>
      <c r="E20" s="1"/>
    </row>
    <row r="21" spans="1:5" x14ac:dyDescent="0.25">
      <c r="A21" s="2">
        <v>6</v>
      </c>
      <c r="B21" s="8">
        <v>1959</v>
      </c>
      <c r="D21" s="79"/>
      <c r="E21" s="1"/>
    </row>
    <row r="22" spans="1:5" x14ac:dyDescent="0.25">
      <c r="A22" s="2">
        <v>6</v>
      </c>
      <c r="B22" s="8">
        <v>1960</v>
      </c>
      <c r="C22" s="78">
        <f>D22+E22</f>
        <v>2452500</v>
      </c>
      <c r="D22" s="79">
        <v>697500</v>
      </c>
      <c r="E22" s="79">
        <v>1755000</v>
      </c>
    </row>
    <row r="23" spans="1:5" x14ac:dyDescent="0.25">
      <c r="A23" s="2">
        <v>6</v>
      </c>
      <c r="B23" s="8">
        <v>1961</v>
      </c>
      <c r="D23" s="79"/>
      <c r="E23" s="1"/>
    </row>
    <row r="24" spans="1:5" x14ac:dyDescent="0.25">
      <c r="A24" s="2">
        <v>6</v>
      </c>
      <c r="B24" s="8">
        <v>1962</v>
      </c>
      <c r="D24" s="79"/>
      <c r="E24" s="1"/>
    </row>
    <row r="25" spans="1:5" x14ac:dyDescent="0.25">
      <c r="A25" s="2">
        <v>6</v>
      </c>
      <c r="B25" s="8">
        <v>1963</v>
      </c>
      <c r="D25" s="79"/>
      <c r="E25" s="1"/>
    </row>
    <row r="26" spans="1:5" x14ac:dyDescent="0.25">
      <c r="A26" s="2">
        <v>6</v>
      </c>
      <c r="B26" s="8">
        <v>1964</v>
      </c>
      <c r="D26" s="79"/>
      <c r="E26" s="1"/>
    </row>
    <row r="27" spans="1:5" x14ac:dyDescent="0.25">
      <c r="A27" s="2">
        <v>6</v>
      </c>
      <c r="B27" s="8">
        <v>1965</v>
      </c>
      <c r="D27" s="79"/>
      <c r="E27" s="1"/>
    </row>
    <row r="28" spans="1:5" x14ac:dyDescent="0.25">
      <c r="A28" s="2">
        <v>6</v>
      </c>
      <c r="B28" s="8">
        <v>1966</v>
      </c>
      <c r="D28" s="79"/>
      <c r="E28" s="1"/>
    </row>
    <row r="29" spans="1:5" x14ac:dyDescent="0.25">
      <c r="A29" s="2">
        <v>6</v>
      </c>
      <c r="B29" s="8">
        <v>1967</v>
      </c>
      <c r="D29" s="79"/>
      <c r="E29" s="1"/>
    </row>
    <row r="30" spans="1:5" x14ac:dyDescent="0.25">
      <c r="A30" s="2">
        <v>6</v>
      </c>
      <c r="B30" s="8">
        <v>1968</v>
      </c>
      <c r="D30" s="79"/>
      <c r="E30" s="1"/>
    </row>
    <row r="31" spans="1:5" x14ac:dyDescent="0.25">
      <c r="A31" s="2">
        <v>6</v>
      </c>
      <c r="B31" s="8">
        <v>1969</v>
      </c>
      <c r="D31" s="79"/>
      <c r="E31" s="1"/>
    </row>
    <row r="32" spans="1:5" x14ac:dyDescent="0.25">
      <c r="A32" s="2">
        <v>6</v>
      </c>
      <c r="B32" s="8">
        <v>1970</v>
      </c>
      <c r="C32" s="78">
        <f>D32+E32</f>
        <v>2821500</v>
      </c>
      <c r="D32" s="79">
        <v>729000</v>
      </c>
      <c r="E32" s="79">
        <v>2092500</v>
      </c>
    </row>
    <row r="33" spans="1:5" x14ac:dyDescent="0.25">
      <c r="A33" s="2">
        <v>6</v>
      </c>
      <c r="B33" s="8">
        <v>1971</v>
      </c>
      <c r="D33" s="79"/>
      <c r="E33" s="1"/>
    </row>
    <row r="34" spans="1:5" x14ac:dyDescent="0.25">
      <c r="A34" s="2">
        <v>9</v>
      </c>
      <c r="B34" s="8">
        <v>1972</v>
      </c>
      <c r="D34" s="79"/>
      <c r="E34" s="1"/>
    </row>
    <row r="35" spans="1:5" x14ac:dyDescent="0.25">
      <c r="A35" s="2">
        <v>9</v>
      </c>
      <c r="B35" s="8">
        <v>1973</v>
      </c>
      <c r="D35" s="79"/>
      <c r="E35" s="1"/>
    </row>
    <row r="36" spans="1:5" x14ac:dyDescent="0.25">
      <c r="A36" s="2">
        <v>9</v>
      </c>
      <c r="B36" s="8">
        <v>1974</v>
      </c>
      <c r="D36" s="79"/>
      <c r="E36" s="1"/>
    </row>
    <row r="37" spans="1:5" x14ac:dyDescent="0.25">
      <c r="A37" s="2">
        <v>9</v>
      </c>
      <c r="B37" s="8">
        <v>1975</v>
      </c>
      <c r="D37" s="79"/>
      <c r="E37" s="1"/>
    </row>
    <row r="38" spans="1:5" x14ac:dyDescent="0.25">
      <c r="A38" s="2">
        <v>9</v>
      </c>
      <c r="B38" s="8">
        <v>1976</v>
      </c>
      <c r="D38" s="79"/>
      <c r="E38" s="1"/>
    </row>
    <row r="39" spans="1:5" x14ac:dyDescent="0.25">
      <c r="A39" s="2">
        <v>9</v>
      </c>
      <c r="B39" s="8">
        <v>1977</v>
      </c>
      <c r="D39" s="79"/>
      <c r="E39" s="1"/>
    </row>
    <row r="40" spans="1:5" x14ac:dyDescent="0.25">
      <c r="A40" s="2">
        <v>9</v>
      </c>
      <c r="B40" s="8">
        <v>1978</v>
      </c>
      <c r="D40" s="79"/>
      <c r="E40" s="1"/>
    </row>
    <row r="41" spans="1:5" x14ac:dyDescent="0.25">
      <c r="A41" s="2">
        <v>9</v>
      </c>
      <c r="B41" s="8">
        <v>1979</v>
      </c>
      <c r="D41" s="79"/>
      <c r="E41" s="1"/>
    </row>
    <row r="42" spans="1:5" x14ac:dyDescent="0.25">
      <c r="A42" s="2">
        <v>10</v>
      </c>
      <c r="B42" s="8">
        <v>1980</v>
      </c>
      <c r="C42" s="78">
        <f>D42+E42</f>
        <v>3384000</v>
      </c>
      <c r="D42" s="79">
        <v>774000</v>
      </c>
      <c r="E42" s="79">
        <v>2610000</v>
      </c>
    </row>
    <row r="43" spans="1:5" x14ac:dyDescent="0.25">
      <c r="A43" s="2">
        <v>10</v>
      </c>
      <c r="B43" s="8">
        <v>1981</v>
      </c>
      <c r="D43" s="79"/>
      <c r="E43" s="1"/>
    </row>
    <row r="44" spans="1:5" x14ac:dyDescent="0.25">
      <c r="A44" s="2">
        <v>10</v>
      </c>
      <c r="B44" s="8">
        <v>1982</v>
      </c>
      <c r="D44" s="79"/>
      <c r="E44" s="1"/>
    </row>
    <row r="45" spans="1:5" x14ac:dyDescent="0.25">
      <c r="A45" s="2">
        <v>10</v>
      </c>
      <c r="B45" s="8">
        <v>1983</v>
      </c>
      <c r="D45" s="79"/>
      <c r="E45" s="1"/>
    </row>
    <row r="46" spans="1:5" x14ac:dyDescent="0.25">
      <c r="A46" s="2">
        <v>10</v>
      </c>
      <c r="B46" s="8">
        <v>1984</v>
      </c>
      <c r="D46" s="79"/>
      <c r="E46" s="1"/>
    </row>
    <row r="47" spans="1:5" x14ac:dyDescent="0.25">
      <c r="A47" s="2">
        <v>10</v>
      </c>
      <c r="B47" s="8">
        <v>1985</v>
      </c>
      <c r="D47" s="79"/>
      <c r="E47" s="1"/>
    </row>
    <row r="48" spans="1:5" x14ac:dyDescent="0.25">
      <c r="A48" s="2">
        <v>12</v>
      </c>
      <c r="B48" s="8">
        <v>1986</v>
      </c>
      <c r="D48" s="79"/>
      <c r="E48" s="1"/>
    </row>
    <row r="49" spans="1:5" x14ac:dyDescent="0.25">
      <c r="A49" s="2">
        <v>12</v>
      </c>
      <c r="B49" s="8">
        <v>1987</v>
      </c>
      <c r="D49" s="79"/>
      <c r="E49" s="1"/>
    </row>
    <row r="50" spans="1:5" x14ac:dyDescent="0.25">
      <c r="A50" s="2">
        <v>12</v>
      </c>
      <c r="B50" s="8">
        <v>1988</v>
      </c>
      <c r="D50" s="79"/>
      <c r="E50" s="1"/>
    </row>
    <row r="51" spans="1:5" x14ac:dyDescent="0.25">
      <c r="A51" s="2">
        <v>12</v>
      </c>
      <c r="B51" s="8">
        <v>1989</v>
      </c>
      <c r="D51" s="79"/>
      <c r="E51" s="1"/>
    </row>
    <row r="52" spans="1:5" x14ac:dyDescent="0.25">
      <c r="A52" s="2">
        <v>12</v>
      </c>
      <c r="B52" s="8">
        <v>1990</v>
      </c>
      <c r="C52" s="78">
        <f>D52+E52</f>
        <v>4455000</v>
      </c>
      <c r="D52" s="79">
        <v>855000</v>
      </c>
      <c r="E52" s="79">
        <v>3600000</v>
      </c>
    </row>
    <row r="53" spans="1:5" x14ac:dyDescent="0.25">
      <c r="A53" s="2">
        <v>12</v>
      </c>
      <c r="B53" s="8">
        <v>1991</v>
      </c>
      <c r="D53" s="79"/>
      <c r="E53" s="1"/>
    </row>
    <row r="54" spans="1:5" x14ac:dyDescent="0.25">
      <c r="A54" s="2">
        <v>12</v>
      </c>
      <c r="B54" s="8">
        <v>1992</v>
      </c>
      <c r="D54" s="79"/>
      <c r="E54" s="1"/>
    </row>
    <row r="55" spans="1:5" x14ac:dyDescent="0.25">
      <c r="A55" s="2">
        <v>12</v>
      </c>
      <c r="B55" s="8">
        <v>1993</v>
      </c>
      <c r="D55" s="79"/>
      <c r="E55" s="1"/>
    </row>
    <row r="56" spans="1:5" x14ac:dyDescent="0.25">
      <c r="A56" s="2">
        <v>12</v>
      </c>
      <c r="B56" s="8">
        <v>1994</v>
      </c>
      <c r="D56" s="79"/>
      <c r="E56" s="1"/>
    </row>
    <row r="57" spans="1:5" x14ac:dyDescent="0.25">
      <c r="A57" s="2">
        <v>15</v>
      </c>
      <c r="B57" s="8">
        <v>1995</v>
      </c>
      <c r="D57" s="79"/>
      <c r="E57" s="1"/>
    </row>
    <row r="58" spans="1:5" x14ac:dyDescent="0.25">
      <c r="A58" s="2">
        <v>15</v>
      </c>
      <c r="B58" s="8">
        <v>1996</v>
      </c>
      <c r="D58" s="79"/>
      <c r="E58" s="1"/>
    </row>
    <row r="59" spans="1:5" x14ac:dyDescent="0.25">
      <c r="A59" s="2">
        <v>15</v>
      </c>
      <c r="B59" s="8">
        <v>1997</v>
      </c>
      <c r="D59" s="79"/>
      <c r="E59" s="1"/>
    </row>
    <row r="60" spans="1:5" x14ac:dyDescent="0.25">
      <c r="A60" s="2">
        <v>15</v>
      </c>
      <c r="B60" s="8">
        <v>1998</v>
      </c>
      <c r="D60" s="79"/>
      <c r="E60" s="1"/>
    </row>
    <row r="61" spans="1:5" x14ac:dyDescent="0.25">
      <c r="A61" s="2">
        <v>15</v>
      </c>
      <c r="B61" s="8">
        <v>1999</v>
      </c>
      <c r="D61" s="79"/>
      <c r="E61" s="1"/>
    </row>
    <row r="62" spans="1:5" x14ac:dyDescent="0.25">
      <c r="A62" s="2">
        <v>15</v>
      </c>
      <c r="B62" s="8">
        <v>2000</v>
      </c>
      <c r="C62" s="78">
        <f>D62+E62</f>
        <v>4783500</v>
      </c>
      <c r="D62" s="79">
        <v>936000</v>
      </c>
      <c r="E62" s="79">
        <v>3847500</v>
      </c>
    </row>
    <row r="63" spans="1:5" x14ac:dyDescent="0.25">
      <c r="A63" s="2">
        <v>15</v>
      </c>
      <c r="B63" s="8">
        <v>2001</v>
      </c>
      <c r="D63" s="79"/>
      <c r="E63" s="1"/>
    </row>
    <row r="64" spans="1:5" x14ac:dyDescent="0.25">
      <c r="A64" s="2">
        <v>15</v>
      </c>
      <c r="B64" s="8">
        <v>2002</v>
      </c>
      <c r="D64" s="79"/>
      <c r="E64" s="1"/>
    </row>
    <row r="65" spans="1:5" x14ac:dyDescent="0.25">
      <c r="A65" s="2">
        <v>25</v>
      </c>
      <c r="B65" s="8">
        <v>2003</v>
      </c>
      <c r="C65" s="79">
        <f>3422000*(1.2*1.2)</f>
        <v>4927680</v>
      </c>
      <c r="D65" s="79"/>
      <c r="E65" s="1"/>
    </row>
    <row r="66" spans="1:5" x14ac:dyDescent="0.25">
      <c r="A66" s="2">
        <v>25</v>
      </c>
      <c r="B66" s="8">
        <v>2004</v>
      </c>
      <c r="D66" s="79"/>
      <c r="E66" s="1"/>
    </row>
    <row r="67" spans="1:5" x14ac:dyDescent="0.25">
      <c r="A67" s="2">
        <v>25</v>
      </c>
      <c r="B67" s="8">
        <v>2005</v>
      </c>
      <c r="D67" s="79"/>
      <c r="E67" s="1"/>
    </row>
    <row r="68" spans="1:5" x14ac:dyDescent="0.25">
      <c r="A68" s="2">
        <v>27</v>
      </c>
      <c r="B68" s="8">
        <v>2006</v>
      </c>
      <c r="D68" s="79"/>
      <c r="E68" s="1"/>
    </row>
    <row r="69" spans="1:5" x14ac:dyDescent="0.25">
      <c r="A69" s="2">
        <v>27</v>
      </c>
      <c r="B69" s="8">
        <v>2007</v>
      </c>
      <c r="D69" s="79"/>
      <c r="E69" s="1"/>
    </row>
    <row r="70" spans="1:5" x14ac:dyDescent="0.25">
      <c r="A70" s="2">
        <v>27</v>
      </c>
      <c r="B70" s="8">
        <v>2008</v>
      </c>
      <c r="D70" s="79"/>
      <c r="E70" s="1"/>
    </row>
    <row r="71" spans="1:5" x14ac:dyDescent="0.25">
      <c r="A71" s="2">
        <v>27</v>
      </c>
      <c r="B71" s="8">
        <v>2009</v>
      </c>
      <c r="D71" s="79"/>
      <c r="E71" s="1"/>
    </row>
    <row r="72" spans="1:5" x14ac:dyDescent="0.25">
      <c r="A72" s="2">
        <v>27</v>
      </c>
      <c r="B72" s="8">
        <v>2010</v>
      </c>
      <c r="C72" s="78">
        <f>D72+E72</f>
        <v>5193000</v>
      </c>
      <c r="D72" s="79">
        <v>1053000</v>
      </c>
      <c r="E72" s="79">
        <v>4140000</v>
      </c>
    </row>
    <row r="73" spans="1:5" x14ac:dyDescent="0.25">
      <c r="A73" s="2">
        <v>27</v>
      </c>
      <c r="B73" s="8">
        <v>2011</v>
      </c>
      <c r="D73" s="1"/>
      <c r="E73" s="79"/>
    </row>
    <row r="74" spans="1:5" x14ac:dyDescent="0.25">
      <c r="A74" s="2">
        <v>28</v>
      </c>
      <c r="B74" s="8">
        <v>2012</v>
      </c>
      <c r="D74" s="79"/>
      <c r="E74" s="79"/>
    </row>
    <row r="75" spans="1:5" x14ac:dyDescent="0.25">
      <c r="A75" s="2">
        <v>28</v>
      </c>
      <c r="B75" s="8">
        <v>2013</v>
      </c>
      <c r="D75" s="79"/>
      <c r="E75" s="79"/>
    </row>
    <row r="76" spans="1:5" x14ac:dyDescent="0.25">
      <c r="A76" s="2">
        <v>28</v>
      </c>
      <c r="B76" s="8">
        <v>2014</v>
      </c>
      <c r="D76" s="79"/>
      <c r="E76" s="79"/>
    </row>
    <row r="77" spans="1:5" x14ac:dyDescent="0.25">
      <c r="A77" s="2">
        <v>28</v>
      </c>
      <c r="B77" s="8">
        <v>2015</v>
      </c>
      <c r="D77" s="79"/>
      <c r="E77" s="79"/>
    </row>
    <row r="78" spans="1:5" x14ac:dyDescent="0.25">
      <c r="A78" s="2">
        <v>28</v>
      </c>
      <c r="B78" s="8">
        <v>2016</v>
      </c>
      <c r="D78" s="79"/>
      <c r="E78" s="79"/>
    </row>
    <row r="79" spans="1:5" x14ac:dyDescent="0.25">
      <c r="A79" s="2">
        <v>28</v>
      </c>
      <c r="B79" s="8">
        <v>2017</v>
      </c>
      <c r="D79" s="79"/>
      <c r="E79" s="79"/>
    </row>
    <row r="80" spans="1:5" x14ac:dyDescent="0.25">
      <c r="A80" s="2">
        <v>272020</v>
      </c>
      <c r="B80" s="8">
        <v>2017</v>
      </c>
      <c r="D80" s="79"/>
      <c r="E80" s="79"/>
    </row>
    <row r="81" spans="1:72" x14ac:dyDescent="0.25">
      <c r="A81" s="2">
        <v>272020</v>
      </c>
      <c r="B81" s="8">
        <v>2018</v>
      </c>
      <c r="D81" s="79"/>
      <c r="E81" s="79"/>
    </row>
    <row r="82" spans="1:72" x14ac:dyDescent="0.25">
      <c r="A82" s="2">
        <v>272020</v>
      </c>
      <c r="B82" s="8">
        <v>2019</v>
      </c>
      <c r="D82" s="79"/>
      <c r="E82" s="79"/>
    </row>
    <row r="83" spans="1:72" s="4" customFormat="1" x14ac:dyDescent="0.25">
      <c r="A83" s="2">
        <v>272020</v>
      </c>
      <c r="B83" s="8">
        <v>2020</v>
      </c>
      <c r="C83" s="2"/>
      <c r="D83" s="2"/>
      <c r="E83" s="2"/>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1:72" s="4" customFormat="1" x14ac:dyDescent="0.25">
      <c r="A84" s="2">
        <v>272020</v>
      </c>
      <c r="B84" s="8">
        <v>2021</v>
      </c>
      <c r="C84" s="2"/>
      <c r="D84" s="2"/>
      <c r="E84" s="2"/>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1:72" s="4" customFormat="1" x14ac:dyDescent="0.25">
      <c r="A85" s="2">
        <v>272020</v>
      </c>
      <c r="B85" s="8">
        <v>2022</v>
      </c>
      <c r="C85" s="2"/>
      <c r="D85" s="2"/>
      <c r="E85" s="2"/>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1:72" x14ac:dyDescent="0.25">
      <c r="A86" s="2">
        <v>272020</v>
      </c>
      <c r="B86" s="8">
        <v>2023</v>
      </c>
    </row>
    <row r="92" spans="1:72" s="4" customFormat="1" x14ac:dyDescent="0.25">
      <c r="A92" s="81"/>
      <c r="B92" s="2"/>
      <c r="C92" s="2"/>
      <c r="D92" s="2"/>
      <c r="E92" s="2"/>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1:72" s="4" customFormat="1" x14ac:dyDescent="0.25">
      <c r="A93" s="81"/>
      <c r="B93" s="2"/>
      <c r="C93" s="2"/>
      <c r="D93" s="2"/>
      <c r="E93" s="2"/>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N103"/>
  <sheetViews>
    <sheetView zoomScale="85" zoomScaleNormal="85" workbookViewId="0">
      <pane xSplit="2" ySplit="1" topLeftCell="C57" activePane="bottomRight" state="frozen"/>
      <selection pane="topRight" activeCell="C1" sqref="C1"/>
      <selection pane="bottomLeft" activeCell="A2" sqref="A2"/>
      <selection pane="bottomRight" activeCell="A77" sqref="A77:A83"/>
    </sheetView>
  </sheetViews>
  <sheetFormatPr baseColWidth="10" defaultColWidth="10.7109375" defaultRowHeight="15" x14ac:dyDescent="0.25"/>
  <cols>
    <col min="1" max="1" width="12.28515625" style="2" bestFit="1" customWidth="1"/>
    <col min="2" max="2" width="12.28515625" style="2" customWidth="1"/>
    <col min="3" max="3" width="20.85546875" style="4" customWidth="1"/>
    <col min="4" max="10" width="17.7109375" style="4" customWidth="1"/>
    <col min="11" max="16384" width="10.7109375" style="1"/>
  </cols>
  <sheetData>
    <row r="1" spans="1:10" s="11" customFormat="1" ht="30" x14ac:dyDescent="0.25">
      <c r="A1" s="82" t="s">
        <v>99</v>
      </c>
      <c r="B1" s="10" t="s">
        <v>0</v>
      </c>
      <c r="C1" s="5" t="s">
        <v>1</v>
      </c>
    </row>
    <row r="2" spans="1:10" x14ac:dyDescent="0.25">
      <c r="A2" s="2">
        <v>6</v>
      </c>
      <c r="B2" s="8">
        <v>1945</v>
      </c>
      <c r="C2" s="7"/>
      <c r="D2" s="7"/>
      <c r="E2" s="7"/>
      <c r="F2" s="7"/>
      <c r="G2" s="7"/>
      <c r="H2" s="7"/>
      <c r="I2" s="7"/>
      <c r="J2" s="7"/>
    </row>
    <row r="3" spans="1:10" x14ac:dyDescent="0.25">
      <c r="A3" s="2">
        <v>6</v>
      </c>
      <c r="B3" s="8">
        <v>1946</v>
      </c>
      <c r="C3" s="7"/>
      <c r="D3" s="7"/>
      <c r="E3" s="7"/>
      <c r="F3" s="7"/>
      <c r="G3" s="7"/>
      <c r="H3" s="7"/>
      <c r="I3" s="7"/>
      <c r="J3" s="7"/>
    </row>
    <row r="4" spans="1:10" x14ac:dyDescent="0.25">
      <c r="A4" s="2">
        <v>6</v>
      </c>
      <c r="B4" s="8">
        <v>1947</v>
      </c>
      <c r="C4" s="67">
        <v>0</v>
      </c>
      <c r="D4" s="7"/>
      <c r="E4" s="7"/>
      <c r="F4" s="7"/>
      <c r="G4" s="7"/>
      <c r="H4" s="7"/>
      <c r="I4" s="7"/>
      <c r="J4" s="7"/>
    </row>
    <row r="5" spans="1:10" x14ac:dyDescent="0.25">
      <c r="A5" s="2">
        <v>6</v>
      </c>
      <c r="B5" s="8">
        <v>1948</v>
      </c>
      <c r="C5" s="7"/>
      <c r="D5" s="7"/>
      <c r="E5" s="7"/>
      <c r="F5" s="7"/>
      <c r="G5" s="7"/>
      <c r="H5" s="7"/>
      <c r="I5" s="7"/>
      <c r="J5" s="7"/>
    </row>
    <row r="6" spans="1:10" x14ac:dyDescent="0.25">
      <c r="A6" s="2">
        <v>6</v>
      </c>
      <c r="B6" s="8">
        <v>1949</v>
      </c>
      <c r="C6" s="7"/>
      <c r="D6" s="7"/>
      <c r="E6" s="7"/>
      <c r="F6" s="7"/>
      <c r="G6" s="7"/>
      <c r="H6" s="7"/>
      <c r="I6" s="7"/>
      <c r="J6" s="7"/>
    </row>
    <row r="7" spans="1:10" x14ac:dyDescent="0.25">
      <c r="A7" s="2">
        <v>6</v>
      </c>
      <c r="B7" s="8">
        <v>1950</v>
      </c>
      <c r="D7" s="7"/>
      <c r="E7" s="7"/>
      <c r="F7" s="7"/>
      <c r="G7" s="7"/>
      <c r="H7" s="7"/>
      <c r="I7" s="7"/>
      <c r="J7" s="7"/>
    </row>
    <row r="8" spans="1:10" x14ac:dyDescent="0.25">
      <c r="A8" s="2">
        <v>6</v>
      </c>
      <c r="B8" s="8">
        <v>1951</v>
      </c>
      <c r="C8" s="7"/>
      <c r="D8" s="7"/>
      <c r="E8" s="7"/>
      <c r="F8" s="7"/>
      <c r="G8" s="7"/>
      <c r="H8" s="7"/>
      <c r="I8" s="7"/>
      <c r="J8" s="7"/>
    </row>
    <row r="9" spans="1:10" x14ac:dyDescent="0.25">
      <c r="A9" s="2">
        <v>6</v>
      </c>
      <c r="B9" s="8">
        <v>1952</v>
      </c>
      <c r="C9" s="7"/>
      <c r="D9" s="7"/>
      <c r="E9" s="7"/>
      <c r="F9" s="7"/>
      <c r="G9" s="7"/>
      <c r="H9" s="7"/>
      <c r="I9" s="7"/>
      <c r="J9" s="7"/>
    </row>
    <row r="10" spans="1:10" x14ac:dyDescent="0.25">
      <c r="A10" s="2">
        <v>6</v>
      </c>
      <c r="B10" s="8">
        <v>1953</v>
      </c>
      <c r="C10" s="7"/>
      <c r="D10" s="7"/>
      <c r="E10" s="7"/>
      <c r="F10" s="7"/>
      <c r="G10" s="7"/>
      <c r="H10" s="7"/>
      <c r="I10" s="7"/>
      <c r="J10" s="7"/>
    </row>
    <row r="11" spans="1:10" x14ac:dyDescent="0.25">
      <c r="A11" s="2">
        <v>6</v>
      </c>
      <c r="B11" s="8">
        <v>1954</v>
      </c>
      <c r="C11" s="7"/>
      <c r="D11" s="7"/>
      <c r="E11" s="7"/>
      <c r="F11" s="7"/>
      <c r="G11" s="7"/>
      <c r="H11" s="7"/>
      <c r="I11" s="7"/>
      <c r="J11" s="7"/>
    </row>
    <row r="12" spans="1:10" x14ac:dyDescent="0.25">
      <c r="A12" s="2">
        <v>6</v>
      </c>
      <c r="B12" s="8">
        <v>1955</v>
      </c>
      <c r="C12" s="1">
        <f>100000*1.5*1.5/1000</f>
        <v>225</v>
      </c>
      <c r="D12" s="7"/>
      <c r="E12" s="7"/>
      <c r="F12" s="7"/>
      <c r="G12" s="7"/>
      <c r="H12" s="7"/>
      <c r="I12" s="7"/>
      <c r="J12" s="7"/>
    </row>
    <row r="13" spans="1:10" x14ac:dyDescent="0.25">
      <c r="A13" s="2">
        <v>6</v>
      </c>
      <c r="B13" s="8">
        <v>1956</v>
      </c>
      <c r="C13" s="83"/>
      <c r="D13" s="7"/>
      <c r="E13" s="7"/>
      <c r="F13" s="7"/>
      <c r="G13" s="7"/>
      <c r="H13" s="7"/>
      <c r="I13" s="7"/>
      <c r="J13" s="7"/>
    </row>
    <row r="14" spans="1:10" x14ac:dyDescent="0.25">
      <c r="A14" s="2">
        <v>6</v>
      </c>
      <c r="B14" s="8">
        <v>1957</v>
      </c>
      <c r="C14" s="7"/>
      <c r="D14" s="7"/>
      <c r="E14" s="7"/>
      <c r="F14" s="7"/>
      <c r="G14" s="7"/>
      <c r="H14" s="7"/>
      <c r="I14" s="7"/>
      <c r="J14" s="7"/>
    </row>
    <row r="15" spans="1:10" x14ac:dyDescent="0.25">
      <c r="A15" s="2">
        <v>6</v>
      </c>
      <c r="B15" s="8">
        <v>1958</v>
      </c>
      <c r="C15" s="7"/>
      <c r="D15" s="7"/>
      <c r="E15" s="7"/>
      <c r="F15" s="7"/>
      <c r="G15" s="7"/>
      <c r="H15" s="7"/>
      <c r="I15" s="7"/>
      <c r="J15" s="7"/>
    </row>
    <row r="16" spans="1:10" x14ac:dyDescent="0.25">
      <c r="A16" s="2">
        <v>6</v>
      </c>
      <c r="B16" s="8">
        <v>1959</v>
      </c>
      <c r="C16" s="7"/>
      <c r="D16" s="7"/>
      <c r="E16" s="7"/>
      <c r="F16" s="7"/>
      <c r="G16" s="7"/>
      <c r="H16" s="7"/>
      <c r="I16" s="7"/>
      <c r="J16" s="7"/>
    </row>
    <row r="17" spans="1:10" x14ac:dyDescent="0.25">
      <c r="A17" s="2">
        <v>6</v>
      </c>
      <c r="B17" s="8">
        <v>1960</v>
      </c>
      <c r="C17" s="7"/>
      <c r="D17" s="7"/>
      <c r="E17" s="7"/>
      <c r="F17" s="7"/>
      <c r="G17" s="7"/>
      <c r="H17" s="7"/>
      <c r="I17" s="7"/>
      <c r="J17" s="7"/>
    </row>
    <row r="18" spans="1:10" x14ac:dyDescent="0.25">
      <c r="A18" s="2">
        <v>6</v>
      </c>
      <c r="B18" s="8">
        <v>1961</v>
      </c>
      <c r="C18" s="7"/>
      <c r="D18" s="7"/>
      <c r="E18" s="7"/>
      <c r="F18" s="7"/>
      <c r="G18" s="7"/>
      <c r="H18" s="7"/>
      <c r="I18" s="7"/>
      <c r="J18" s="7"/>
    </row>
    <row r="19" spans="1:10" x14ac:dyDescent="0.25">
      <c r="A19" s="2">
        <v>6</v>
      </c>
      <c r="B19" s="8">
        <v>1962</v>
      </c>
      <c r="C19" s="7"/>
      <c r="D19" s="7"/>
      <c r="E19" s="7"/>
      <c r="F19" s="7"/>
      <c r="G19" s="7"/>
      <c r="H19" s="7"/>
      <c r="I19" s="7"/>
      <c r="J19" s="7"/>
    </row>
    <row r="20" spans="1:10" x14ac:dyDescent="0.25">
      <c r="A20" s="2">
        <v>6</v>
      </c>
      <c r="B20" s="8">
        <v>1963</v>
      </c>
      <c r="C20" s="7"/>
      <c r="D20" s="7"/>
      <c r="E20" s="7"/>
      <c r="F20" s="7"/>
      <c r="G20" s="7"/>
      <c r="H20" s="7"/>
      <c r="I20" s="7"/>
      <c r="J20" s="7"/>
    </row>
    <row r="21" spans="1:10" x14ac:dyDescent="0.25">
      <c r="A21" s="2">
        <v>6</v>
      </c>
      <c r="B21" s="8">
        <v>1964</v>
      </c>
      <c r="C21" s="7"/>
      <c r="D21" s="7"/>
      <c r="E21" s="7"/>
      <c r="F21" s="7"/>
      <c r="G21" s="7"/>
      <c r="H21" s="7"/>
      <c r="I21" s="7"/>
      <c r="J21" s="7"/>
    </row>
    <row r="22" spans="1:10" x14ac:dyDescent="0.25">
      <c r="A22" s="2">
        <v>6</v>
      </c>
      <c r="B22" s="8">
        <v>1965</v>
      </c>
      <c r="C22" s="7"/>
      <c r="D22" s="7"/>
      <c r="E22" s="7"/>
      <c r="F22" s="7"/>
      <c r="G22" s="7"/>
      <c r="H22" s="7"/>
      <c r="I22" s="7"/>
      <c r="J22" s="7"/>
    </row>
    <row r="23" spans="1:10" x14ac:dyDescent="0.25">
      <c r="A23" s="2">
        <v>6</v>
      </c>
      <c r="B23" s="8">
        <v>1966</v>
      </c>
      <c r="C23" s="7"/>
      <c r="D23" s="7"/>
      <c r="E23" s="7"/>
      <c r="F23" s="7"/>
      <c r="G23" s="7"/>
      <c r="H23" s="7"/>
      <c r="I23" s="7"/>
      <c r="J23" s="7"/>
    </row>
    <row r="24" spans="1:10" x14ac:dyDescent="0.25">
      <c r="A24" s="2">
        <v>6</v>
      </c>
      <c r="B24" s="8">
        <v>1967</v>
      </c>
      <c r="C24" s="7"/>
      <c r="D24" s="7"/>
      <c r="E24" s="7"/>
      <c r="F24" s="7"/>
      <c r="G24" s="7"/>
      <c r="H24" s="7"/>
      <c r="I24" s="7"/>
      <c r="J24" s="7"/>
    </row>
    <row r="25" spans="1:10" x14ac:dyDescent="0.25">
      <c r="A25" s="2">
        <v>6</v>
      </c>
      <c r="B25" s="8">
        <v>1968</v>
      </c>
      <c r="C25" s="7"/>
      <c r="D25" s="7"/>
      <c r="E25" s="7"/>
      <c r="F25" s="7"/>
      <c r="G25" s="7"/>
      <c r="H25" s="7"/>
      <c r="I25" s="7"/>
      <c r="J25" s="7"/>
    </row>
    <row r="26" spans="1:10" x14ac:dyDescent="0.25">
      <c r="A26" s="2">
        <v>6</v>
      </c>
      <c r="B26" s="8">
        <v>1969</v>
      </c>
      <c r="C26" s="7"/>
      <c r="D26" s="7"/>
      <c r="E26" s="7"/>
      <c r="F26" s="7"/>
      <c r="G26" s="7"/>
      <c r="H26" s="7"/>
      <c r="I26" s="7"/>
      <c r="J26" s="7"/>
    </row>
    <row r="27" spans="1:10" x14ac:dyDescent="0.25">
      <c r="A27" s="2">
        <v>6</v>
      </c>
      <c r="B27" s="8">
        <v>1970</v>
      </c>
      <c r="C27" s="7">
        <v>10500</v>
      </c>
      <c r="D27" s="7"/>
      <c r="E27" s="7"/>
      <c r="F27" s="7"/>
      <c r="G27" s="7"/>
      <c r="H27" s="7"/>
      <c r="I27" s="7"/>
      <c r="J27" s="7"/>
    </row>
    <row r="28" spans="1:10" x14ac:dyDescent="0.25">
      <c r="A28" s="2">
        <v>6</v>
      </c>
      <c r="B28" s="8">
        <v>1971</v>
      </c>
      <c r="C28" s="7"/>
      <c r="D28" s="7"/>
      <c r="E28" s="7"/>
      <c r="F28" s="7"/>
      <c r="G28" s="7"/>
      <c r="H28" s="7"/>
      <c r="I28" s="7"/>
      <c r="J28" s="7"/>
    </row>
    <row r="29" spans="1:10" x14ac:dyDescent="0.25">
      <c r="A29" s="2">
        <v>9</v>
      </c>
      <c r="B29" s="8">
        <v>1972</v>
      </c>
      <c r="C29" s="7"/>
      <c r="D29" s="7"/>
      <c r="E29" s="7"/>
      <c r="F29" s="7"/>
      <c r="G29" s="7"/>
      <c r="H29" s="7"/>
      <c r="I29" s="7"/>
      <c r="J29" s="7"/>
    </row>
    <row r="30" spans="1:10" x14ac:dyDescent="0.25">
      <c r="A30" s="2">
        <v>9</v>
      </c>
      <c r="B30" s="8">
        <v>1973</v>
      </c>
      <c r="C30" s="7"/>
      <c r="D30" s="7"/>
      <c r="E30" s="7"/>
      <c r="F30" s="7"/>
      <c r="G30" s="7"/>
      <c r="H30" s="7"/>
      <c r="I30" s="7"/>
      <c r="J30" s="7"/>
    </row>
    <row r="31" spans="1:10" x14ac:dyDescent="0.25">
      <c r="A31" s="2">
        <v>9</v>
      </c>
      <c r="B31" s="8">
        <v>1974</v>
      </c>
      <c r="C31" s="7"/>
      <c r="D31" s="7"/>
      <c r="E31" s="7"/>
      <c r="F31" s="7"/>
      <c r="G31" s="7"/>
      <c r="H31" s="7"/>
      <c r="I31" s="7"/>
      <c r="J31" s="7"/>
    </row>
    <row r="32" spans="1:10" x14ac:dyDescent="0.25">
      <c r="A32" s="2">
        <v>9</v>
      </c>
      <c r="B32" s="8">
        <v>1975</v>
      </c>
      <c r="C32" s="7">
        <v>20000</v>
      </c>
      <c r="D32" s="7"/>
      <c r="E32" s="7"/>
      <c r="F32" s="7"/>
      <c r="G32" s="7"/>
      <c r="H32" s="7"/>
      <c r="I32" s="7"/>
      <c r="J32" s="7"/>
    </row>
    <row r="33" spans="1:10" x14ac:dyDescent="0.25">
      <c r="A33" s="2">
        <v>9</v>
      </c>
      <c r="B33" s="8">
        <v>1976</v>
      </c>
      <c r="C33" s="7"/>
      <c r="D33" s="7"/>
      <c r="E33" s="7"/>
      <c r="F33" s="7"/>
      <c r="G33" s="7"/>
      <c r="H33" s="7"/>
      <c r="I33" s="7"/>
      <c r="J33" s="7"/>
    </row>
    <row r="34" spans="1:10" x14ac:dyDescent="0.25">
      <c r="A34" s="2">
        <v>9</v>
      </c>
      <c r="B34" s="8">
        <v>1977</v>
      </c>
      <c r="C34" s="7"/>
      <c r="D34" s="7"/>
      <c r="E34" s="7"/>
      <c r="F34" s="7"/>
      <c r="G34" s="7"/>
      <c r="H34" s="7"/>
      <c r="I34" s="7"/>
      <c r="J34" s="7"/>
    </row>
    <row r="35" spans="1:10" x14ac:dyDescent="0.25">
      <c r="A35" s="2">
        <v>9</v>
      </c>
      <c r="B35" s="8">
        <v>1978</v>
      </c>
      <c r="C35" s="7"/>
      <c r="D35" s="7"/>
      <c r="E35" s="7"/>
      <c r="F35" s="7"/>
      <c r="G35" s="7"/>
      <c r="H35" s="7"/>
      <c r="I35" s="7"/>
      <c r="J35" s="7"/>
    </row>
    <row r="36" spans="1:10" x14ac:dyDescent="0.25">
      <c r="A36" s="2">
        <v>9</v>
      </c>
      <c r="B36" s="8">
        <v>1979</v>
      </c>
      <c r="C36" s="7"/>
      <c r="D36" s="7"/>
      <c r="E36" s="7"/>
      <c r="F36" s="7"/>
      <c r="G36" s="7"/>
      <c r="H36" s="7"/>
      <c r="I36" s="7"/>
      <c r="J36" s="7"/>
    </row>
    <row r="37" spans="1:10" x14ac:dyDescent="0.25">
      <c r="A37" s="2">
        <v>10</v>
      </c>
      <c r="B37" s="8">
        <v>1980</v>
      </c>
      <c r="C37" s="7"/>
      <c r="D37" s="7"/>
      <c r="E37" s="7"/>
      <c r="F37" s="7"/>
      <c r="G37" s="7"/>
      <c r="H37" s="7"/>
      <c r="I37" s="7"/>
      <c r="J37" s="7"/>
    </row>
    <row r="38" spans="1:10" x14ac:dyDescent="0.25">
      <c r="A38" s="2">
        <v>10</v>
      </c>
      <c r="B38" s="8">
        <v>1981</v>
      </c>
      <c r="C38" s="7">
        <v>45000</v>
      </c>
      <c r="D38" s="7"/>
      <c r="E38" s="7"/>
      <c r="F38" s="7"/>
      <c r="G38" s="7"/>
      <c r="H38" s="7"/>
      <c r="I38" s="7"/>
      <c r="J38" s="7"/>
    </row>
    <row r="39" spans="1:10" x14ac:dyDescent="0.25">
      <c r="A39" s="2">
        <v>10</v>
      </c>
      <c r="B39" s="8">
        <v>1982</v>
      </c>
      <c r="C39" s="7"/>
      <c r="D39" s="7"/>
      <c r="E39" s="7"/>
      <c r="F39" s="7"/>
      <c r="G39" s="7"/>
      <c r="H39" s="7"/>
      <c r="I39" s="7"/>
      <c r="J39" s="7"/>
    </row>
    <row r="40" spans="1:10" x14ac:dyDescent="0.25">
      <c r="A40" s="2">
        <v>10</v>
      </c>
      <c r="B40" s="8">
        <v>1983</v>
      </c>
      <c r="C40" s="7"/>
      <c r="D40" s="7"/>
      <c r="E40" s="7"/>
      <c r="F40" s="7"/>
      <c r="G40" s="7"/>
      <c r="H40" s="7"/>
      <c r="I40" s="7"/>
      <c r="J40" s="7"/>
    </row>
    <row r="41" spans="1:10" x14ac:dyDescent="0.25">
      <c r="A41" s="2">
        <v>10</v>
      </c>
      <c r="B41" s="8">
        <v>1984</v>
      </c>
      <c r="D41" s="7"/>
      <c r="E41" s="7"/>
      <c r="F41" s="7"/>
      <c r="G41" s="7"/>
      <c r="H41" s="7"/>
      <c r="I41" s="7"/>
      <c r="J41" s="7"/>
    </row>
    <row r="42" spans="1:10" x14ac:dyDescent="0.25">
      <c r="A42" s="2">
        <v>10</v>
      </c>
      <c r="B42" s="8">
        <v>1985</v>
      </c>
      <c r="C42" s="7"/>
      <c r="D42" s="7"/>
      <c r="E42" s="7"/>
      <c r="F42" s="7"/>
      <c r="G42" s="7"/>
      <c r="H42" s="7"/>
      <c r="I42" s="7"/>
      <c r="J42" s="7"/>
    </row>
    <row r="43" spans="1:10" x14ac:dyDescent="0.25">
      <c r="A43" s="2">
        <v>12</v>
      </c>
      <c r="B43" s="8">
        <v>1986</v>
      </c>
      <c r="C43" s="7"/>
      <c r="D43" s="7"/>
      <c r="E43" s="7"/>
      <c r="F43" s="7"/>
      <c r="G43" s="7"/>
      <c r="H43" s="7"/>
      <c r="I43" s="7"/>
      <c r="J43" s="7"/>
    </row>
    <row r="44" spans="1:10" x14ac:dyDescent="0.25">
      <c r="A44" s="2">
        <v>12</v>
      </c>
      <c r="B44" s="8">
        <v>1987</v>
      </c>
      <c r="C44" s="7"/>
      <c r="D44" s="7"/>
      <c r="E44" s="7"/>
      <c r="F44" s="7"/>
      <c r="G44" s="7"/>
      <c r="H44" s="7"/>
      <c r="I44" s="7"/>
      <c r="J44" s="7"/>
    </row>
    <row r="45" spans="1:10" x14ac:dyDescent="0.25">
      <c r="A45" s="2">
        <v>12</v>
      </c>
      <c r="B45" s="8">
        <v>1988</v>
      </c>
      <c r="C45" s="7"/>
      <c r="D45" s="7"/>
      <c r="E45" s="7"/>
      <c r="F45" s="7"/>
      <c r="G45" s="7"/>
      <c r="H45" s="7"/>
      <c r="I45" s="7"/>
      <c r="J45" s="7"/>
    </row>
    <row r="46" spans="1:10" x14ac:dyDescent="0.25">
      <c r="A46" s="2">
        <v>12</v>
      </c>
      <c r="B46" s="8">
        <v>1989</v>
      </c>
      <c r="C46" s="7"/>
      <c r="D46" s="7"/>
      <c r="E46" s="7"/>
      <c r="F46" s="7"/>
      <c r="G46" s="7"/>
      <c r="H46" s="7"/>
      <c r="I46" s="7"/>
      <c r="J46" s="7"/>
    </row>
    <row r="47" spans="1:10" x14ac:dyDescent="0.25">
      <c r="A47" s="2">
        <v>12</v>
      </c>
      <c r="B47" s="8">
        <v>1990</v>
      </c>
      <c r="C47" s="7"/>
      <c r="D47" s="7"/>
      <c r="E47" s="7"/>
      <c r="F47" s="7"/>
      <c r="G47" s="7"/>
      <c r="H47" s="7"/>
      <c r="I47" s="7"/>
      <c r="J47" s="7"/>
    </row>
    <row r="48" spans="1:10" x14ac:dyDescent="0.25">
      <c r="A48" s="2">
        <v>12</v>
      </c>
      <c r="B48" s="8">
        <v>1991</v>
      </c>
      <c r="C48" s="7"/>
      <c r="D48" s="7"/>
      <c r="E48" s="7"/>
      <c r="F48" s="7"/>
      <c r="G48" s="7"/>
      <c r="H48" s="7"/>
      <c r="I48" s="7"/>
      <c r="J48" s="7"/>
    </row>
    <row r="49" spans="1:10" x14ac:dyDescent="0.25">
      <c r="A49" s="2">
        <v>12</v>
      </c>
      <c r="B49" s="8">
        <v>1992</v>
      </c>
      <c r="C49" s="7"/>
      <c r="D49" s="7"/>
      <c r="E49" s="7"/>
      <c r="F49" s="7"/>
      <c r="G49" s="7"/>
      <c r="H49" s="7"/>
      <c r="I49" s="7"/>
      <c r="J49" s="7"/>
    </row>
    <row r="50" spans="1:10" x14ac:dyDescent="0.25">
      <c r="A50" s="2">
        <v>12</v>
      </c>
      <c r="B50" s="8">
        <v>1993</v>
      </c>
      <c r="C50" s="7"/>
      <c r="D50" s="7"/>
      <c r="E50" s="7"/>
      <c r="F50" s="7"/>
      <c r="G50" s="7"/>
      <c r="H50" s="7"/>
      <c r="I50" s="7"/>
      <c r="J50" s="7"/>
    </row>
    <row r="51" spans="1:10" x14ac:dyDescent="0.25">
      <c r="A51" s="2">
        <v>12</v>
      </c>
      <c r="B51" s="8">
        <v>1994</v>
      </c>
      <c r="C51" s="7"/>
      <c r="D51" s="7"/>
      <c r="E51" s="7"/>
      <c r="F51" s="7"/>
      <c r="G51" s="7"/>
      <c r="H51" s="7"/>
      <c r="I51" s="7"/>
      <c r="J51" s="7"/>
    </row>
    <row r="52" spans="1:10" x14ac:dyDescent="0.25">
      <c r="A52" s="2">
        <v>12</v>
      </c>
      <c r="B52" s="8">
        <v>1995</v>
      </c>
      <c r="C52" s="7"/>
      <c r="D52" s="7"/>
      <c r="E52" s="7"/>
      <c r="F52" s="7"/>
      <c r="G52" s="7"/>
      <c r="H52" s="7"/>
      <c r="I52" s="7"/>
      <c r="J52" s="7"/>
    </row>
    <row r="53" spans="1:10" x14ac:dyDescent="0.25">
      <c r="A53" s="2">
        <v>15</v>
      </c>
      <c r="B53" s="8">
        <v>1995</v>
      </c>
      <c r="C53" s="84">
        <v>60600</v>
      </c>
      <c r="D53" s="7"/>
      <c r="E53" s="7"/>
      <c r="F53" s="7"/>
      <c r="G53" s="7"/>
      <c r="H53" s="7"/>
      <c r="I53" s="7"/>
      <c r="J53" s="7"/>
    </row>
    <row r="54" spans="1:10" x14ac:dyDescent="0.25">
      <c r="A54" s="2">
        <v>15</v>
      </c>
      <c r="B54" s="8">
        <v>1996</v>
      </c>
      <c r="C54" s="84">
        <v>74400</v>
      </c>
      <c r="D54" s="7"/>
      <c r="E54" s="7"/>
      <c r="F54" s="7"/>
      <c r="G54" s="7"/>
      <c r="H54" s="7"/>
      <c r="I54" s="7"/>
      <c r="J54" s="7"/>
    </row>
    <row r="55" spans="1:10" x14ac:dyDescent="0.25">
      <c r="A55" s="2">
        <v>15</v>
      </c>
      <c r="B55" s="8">
        <v>1997</v>
      </c>
      <c r="C55" s="84">
        <v>78500</v>
      </c>
      <c r="D55" s="7"/>
      <c r="E55" s="7"/>
      <c r="F55" s="7"/>
      <c r="G55" s="7"/>
      <c r="H55" s="7"/>
      <c r="I55" s="7"/>
      <c r="J55" s="7"/>
    </row>
    <row r="56" spans="1:10" x14ac:dyDescent="0.25">
      <c r="A56" s="2">
        <v>15</v>
      </c>
      <c r="B56" s="8">
        <v>1998</v>
      </c>
      <c r="C56" s="84">
        <v>84266.865000000005</v>
      </c>
      <c r="D56" s="7"/>
      <c r="E56" s="7"/>
      <c r="F56" s="7"/>
      <c r="G56" s="7"/>
      <c r="H56" s="7"/>
      <c r="I56" s="7"/>
      <c r="J56" s="7"/>
    </row>
    <row r="57" spans="1:10" x14ac:dyDescent="0.25">
      <c r="A57" s="2">
        <v>15</v>
      </c>
      <c r="B57" s="8">
        <v>1999</v>
      </c>
      <c r="C57" s="84">
        <v>82744.091</v>
      </c>
      <c r="D57" s="7"/>
      <c r="E57" s="7"/>
      <c r="F57" s="7"/>
      <c r="G57" s="7"/>
      <c r="H57" s="7"/>
      <c r="I57" s="7"/>
      <c r="J57" s="7"/>
    </row>
    <row r="58" spans="1:10" x14ac:dyDescent="0.25">
      <c r="A58" s="2">
        <v>15</v>
      </c>
      <c r="B58" s="8">
        <v>2000</v>
      </c>
      <c r="C58" s="84">
        <v>86330.619000000006</v>
      </c>
      <c r="D58" s="7"/>
      <c r="E58" s="7"/>
      <c r="F58" s="7"/>
      <c r="G58" s="7"/>
      <c r="H58" s="7"/>
      <c r="I58" s="7"/>
      <c r="J58" s="7"/>
    </row>
    <row r="59" spans="1:10" x14ac:dyDescent="0.25">
      <c r="A59" s="2">
        <v>15</v>
      </c>
      <c r="B59" s="8">
        <v>2001</v>
      </c>
      <c r="C59" s="84">
        <v>92966.712</v>
      </c>
      <c r="D59" s="7"/>
      <c r="E59" s="7"/>
      <c r="F59" s="7"/>
      <c r="G59" s="7"/>
      <c r="H59" s="7"/>
      <c r="I59" s="7"/>
      <c r="J59" s="7"/>
    </row>
    <row r="60" spans="1:10" x14ac:dyDescent="0.25">
      <c r="A60" s="2">
        <v>15</v>
      </c>
      <c r="B60" s="8">
        <v>2002</v>
      </c>
      <c r="C60" s="84">
        <v>98642.020999999993</v>
      </c>
      <c r="D60" s="7"/>
      <c r="E60" s="7"/>
      <c r="F60" s="7"/>
      <c r="G60" s="7"/>
      <c r="H60" s="7"/>
      <c r="I60" s="7"/>
      <c r="J60" s="7"/>
    </row>
    <row r="61" spans="1:10" x14ac:dyDescent="0.25">
      <c r="A61" s="2">
        <v>15</v>
      </c>
      <c r="B61" s="8">
        <v>2003</v>
      </c>
      <c r="C61" s="84">
        <v>95425.483999999997</v>
      </c>
      <c r="D61" s="7"/>
      <c r="E61" s="7"/>
      <c r="F61" s="7"/>
      <c r="G61" s="7"/>
      <c r="H61" s="7"/>
      <c r="I61" s="7"/>
      <c r="J61" s="7"/>
    </row>
    <row r="62" spans="1:10" x14ac:dyDescent="0.25">
      <c r="A62" s="2">
        <v>27</v>
      </c>
      <c r="B62" s="8">
        <v>2003</v>
      </c>
      <c r="C62" s="84">
        <v>113192.66800000001</v>
      </c>
      <c r="D62" s="7"/>
      <c r="E62" s="7"/>
      <c r="F62" s="7"/>
      <c r="G62" s="7"/>
      <c r="H62" s="7"/>
      <c r="I62" s="7"/>
      <c r="J62" s="7"/>
    </row>
    <row r="63" spans="1:10" x14ac:dyDescent="0.25">
      <c r="A63" s="2">
        <v>27</v>
      </c>
      <c r="B63" s="8">
        <v>2004</v>
      </c>
      <c r="C63" s="84"/>
      <c r="D63" s="7"/>
      <c r="E63" s="7"/>
      <c r="F63" s="7"/>
      <c r="G63" s="7"/>
      <c r="H63" s="7"/>
      <c r="I63" s="7"/>
      <c r="J63" s="7"/>
    </row>
    <row r="64" spans="1:10" x14ac:dyDescent="0.25">
      <c r="A64" s="2">
        <v>27</v>
      </c>
      <c r="B64" s="8">
        <v>2005</v>
      </c>
      <c r="C64" s="84">
        <v>121769.47</v>
      </c>
      <c r="D64" s="7"/>
      <c r="E64" s="7"/>
      <c r="F64" s="7"/>
      <c r="G64" s="7"/>
      <c r="H64" s="7"/>
      <c r="I64" s="7"/>
      <c r="J64" s="7"/>
    </row>
    <row r="65" spans="1:66" x14ac:dyDescent="0.25">
      <c r="A65" s="2">
        <v>27</v>
      </c>
      <c r="B65" s="8">
        <v>2006</v>
      </c>
      <c r="C65" s="84">
        <v>142026.62299999999</v>
      </c>
      <c r="D65" s="7"/>
      <c r="E65" s="7"/>
      <c r="F65" s="7"/>
      <c r="G65" s="7"/>
      <c r="H65" s="7"/>
      <c r="I65" s="7"/>
      <c r="J65" s="7"/>
    </row>
    <row r="66" spans="1:66" x14ac:dyDescent="0.25">
      <c r="A66" s="2">
        <v>27</v>
      </c>
      <c r="B66" s="8">
        <v>2007</v>
      </c>
      <c r="C66" s="84">
        <v>148000</v>
      </c>
      <c r="D66" s="7"/>
      <c r="E66" s="7"/>
      <c r="F66" s="7"/>
      <c r="G66" s="7"/>
      <c r="H66" s="7"/>
      <c r="I66" s="7"/>
      <c r="J66" s="7"/>
    </row>
    <row r="67" spans="1:66" x14ac:dyDescent="0.25">
      <c r="A67" s="2">
        <v>27</v>
      </c>
      <c r="B67" s="8">
        <v>2008</v>
      </c>
      <c r="C67" s="84">
        <v>136000</v>
      </c>
      <c r="D67" s="7"/>
      <c r="E67" s="7"/>
      <c r="F67" s="7"/>
      <c r="G67" s="7"/>
      <c r="H67" s="7"/>
      <c r="I67" s="7"/>
      <c r="J67" s="7"/>
    </row>
    <row r="68" spans="1:66" x14ac:dyDescent="0.25">
      <c r="A68" s="2">
        <v>27</v>
      </c>
      <c r="B68" s="8">
        <v>2009</v>
      </c>
      <c r="C68" s="84">
        <v>118000</v>
      </c>
      <c r="D68" s="7"/>
      <c r="E68" s="7"/>
      <c r="F68" s="7"/>
      <c r="G68" s="7"/>
      <c r="H68" s="7"/>
      <c r="I68" s="7"/>
      <c r="J68" s="7"/>
    </row>
    <row r="69" spans="1:66" x14ac:dyDescent="0.25">
      <c r="A69" s="2">
        <v>27</v>
      </c>
      <c r="B69" s="8">
        <v>2010</v>
      </c>
      <c r="C69" s="84">
        <v>120000</v>
      </c>
      <c r="D69" s="7"/>
      <c r="E69" s="7"/>
      <c r="F69" s="7"/>
      <c r="G69" s="7"/>
      <c r="H69" s="7"/>
      <c r="I69" s="7"/>
      <c r="J69" s="7"/>
    </row>
    <row r="70" spans="1:66" x14ac:dyDescent="0.25">
      <c r="A70" s="2">
        <v>27</v>
      </c>
      <c r="B70" s="8">
        <v>2011</v>
      </c>
      <c r="C70" s="84">
        <v>120000</v>
      </c>
      <c r="D70" s="7"/>
      <c r="E70" s="7"/>
      <c r="F70" s="7"/>
      <c r="G70" s="7"/>
      <c r="H70" s="7"/>
      <c r="I70" s="7"/>
      <c r="J70" s="7"/>
    </row>
    <row r="71" spans="1:66" x14ac:dyDescent="0.25">
      <c r="A71" s="2">
        <v>28</v>
      </c>
      <c r="B71" s="8">
        <v>2012</v>
      </c>
      <c r="C71" s="84">
        <v>112904.86900000001</v>
      </c>
      <c r="D71" s="7"/>
      <c r="E71" s="7"/>
      <c r="F71" s="7"/>
      <c r="G71" s="7"/>
      <c r="H71" s="7"/>
      <c r="I71" s="7"/>
      <c r="J71" s="7"/>
    </row>
    <row r="72" spans="1:66" x14ac:dyDescent="0.25">
      <c r="A72" s="2">
        <v>28</v>
      </c>
      <c r="B72" s="8">
        <v>2013</v>
      </c>
      <c r="C72" s="84">
        <v>105000</v>
      </c>
      <c r="D72" s="7"/>
      <c r="E72" s="7"/>
      <c r="F72" s="7"/>
      <c r="G72" s="7"/>
      <c r="H72" s="7"/>
      <c r="I72" s="7"/>
      <c r="J72" s="7"/>
    </row>
    <row r="73" spans="1:66" x14ac:dyDescent="0.25">
      <c r="A73" s="2">
        <v>28</v>
      </c>
      <c r="B73" s="8">
        <v>2014</v>
      </c>
      <c r="C73" s="84">
        <v>110466.864</v>
      </c>
      <c r="D73" s="7"/>
      <c r="E73" s="7"/>
      <c r="F73" s="7"/>
      <c r="G73" s="7"/>
      <c r="H73" s="7"/>
      <c r="I73" s="7"/>
      <c r="J73" s="7"/>
    </row>
    <row r="74" spans="1:66" x14ac:dyDescent="0.25">
      <c r="A74" s="2">
        <v>28</v>
      </c>
      <c r="B74" s="8">
        <v>2015</v>
      </c>
      <c r="C74" s="84">
        <v>116000</v>
      </c>
      <c r="D74" s="7"/>
      <c r="E74" s="7"/>
      <c r="F74" s="7"/>
      <c r="G74" s="7"/>
      <c r="H74" s="7"/>
      <c r="I74" s="7"/>
      <c r="J74" s="7"/>
    </row>
    <row r="75" spans="1:66" x14ac:dyDescent="0.25">
      <c r="A75" s="2">
        <v>28</v>
      </c>
      <c r="B75" s="8">
        <v>2016</v>
      </c>
      <c r="C75" s="84">
        <v>114000</v>
      </c>
      <c r="D75" s="7"/>
      <c r="E75" s="7"/>
      <c r="F75" s="7"/>
      <c r="G75" s="7"/>
      <c r="H75" s="7"/>
      <c r="I75" s="7"/>
      <c r="J75" s="7"/>
    </row>
    <row r="76" spans="1:66" x14ac:dyDescent="0.25">
      <c r="A76" s="2">
        <v>28</v>
      </c>
      <c r="B76" s="8">
        <v>2017</v>
      </c>
      <c r="C76" s="84">
        <v>121600</v>
      </c>
      <c r="D76" s="7"/>
      <c r="E76" s="7"/>
      <c r="F76" s="7"/>
      <c r="G76" s="7"/>
      <c r="H76" s="7"/>
      <c r="I76" s="7"/>
      <c r="J76" s="7"/>
    </row>
    <row r="77" spans="1:66" x14ac:dyDescent="0.25">
      <c r="A77" s="2">
        <v>272020</v>
      </c>
      <c r="B77" s="8">
        <v>2017</v>
      </c>
      <c r="C77" s="84">
        <v>105970.73699999999</v>
      </c>
      <c r="D77" s="7"/>
      <c r="E77" s="7"/>
      <c r="F77" s="7"/>
      <c r="G77" s="7"/>
      <c r="H77" s="7"/>
      <c r="I77" s="7"/>
      <c r="J77" s="7"/>
    </row>
    <row r="78" spans="1:66" x14ac:dyDescent="0.25">
      <c r="A78" s="2">
        <v>272020</v>
      </c>
      <c r="B78" s="8">
        <v>2018</v>
      </c>
      <c r="C78" s="84">
        <v>99659.604000000007</v>
      </c>
      <c r="D78" s="7"/>
      <c r="E78" s="7"/>
      <c r="F78" s="7"/>
      <c r="G78" s="7"/>
      <c r="H78" s="7"/>
      <c r="I78" s="7"/>
      <c r="J78" s="7"/>
    </row>
    <row r="79" spans="1:66" x14ac:dyDescent="0.25">
      <c r="A79" s="2">
        <v>272020</v>
      </c>
      <c r="B79" s="8">
        <v>2019</v>
      </c>
      <c r="C79" s="84">
        <v>104468.511</v>
      </c>
      <c r="D79" s="7"/>
      <c r="E79" s="7"/>
      <c r="F79" s="7"/>
      <c r="G79" s="7"/>
      <c r="H79" s="7"/>
      <c r="I79" s="7"/>
      <c r="J79" s="7"/>
    </row>
    <row r="80" spans="1:66" s="4" customFormat="1" x14ac:dyDescent="0.25">
      <c r="A80" s="2">
        <v>272020</v>
      </c>
      <c r="B80" s="8">
        <v>2020</v>
      </c>
      <c r="C80" s="84">
        <v>97356.543000000005</v>
      </c>
      <c r="G80" s="7"/>
      <c r="H80" s="7"/>
      <c r="I80" s="7"/>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row>
    <row r="81" spans="1:66" s="4" customFormat="1" x14ac:dyDescent="0.25">
      <c r="A81" s="2">
        <v>272020</v>
      </c>
      <c r="B81" s="8">
        <v>2021</v>
      </c>
      <c r="C81" s="84">
        <v>100000</v>
      </c>
      <c r="G81" s="7"/>
      <c r="H81" s="7"/>
      <c r="I81" s="7"/>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row>
    <row r="82" spans="1:66" s="4" customFormat="1" x14ac:dyDescent="0.25">
      <c r="A82" s="2">
        <v>272020</v>
      </c>
      <c r="B82" s="8">
        <v>2022</v>
      </c>
      <c r="C82" s="7">
        <v>114800</v>
      </c>
      <c r="G82" s="7"/>
      <c r="H82" s="7"/>
      <c r="I82" s="7"/>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row>
    <row r="83" spans="1:66" x14ac:dyDescent="0.25">
      <c r="A83" s="2">
        <v>272020</v>
      </c>
      <c r="B83" s="8">
        <v>2023</v>
      </c>
      <c r="C83" s="7">
        <v>102000</v>
      </c>
    </row>
    <row r="85" spans="1:66" x14ac:dyDescent="0.25">
      <c r="A85" s="81"/>
    </row>
    <row r="86" spans="1:66" x14ac:dyDescent="0.25">
      <c r="A86" s="81"/>
    </row>
    <row r="87" spans="1:66" x14ac:dyDescent="0.25">
      <c r="A87" s="81"/>
      <c r="C87" s="62"/>
    </row>
    <row r="88" spans="1:66" x14ac:dyDescent="0.25">
      <c r="C88" s="62"/>
    </row>
    <row r="89" spans="1:66" s="4" customFormat="1" x14ac:dyDescent="0.25">
      <c r="A89" s="2"/>
      <c r="B89" s="2"/>
      <c r="C89" s="62"/>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row>
    <row r="90" spans="1:66" s="4" customFormat="1" x14ac:dyDescent="0.25">
      <c r="A90" s="2"/>
      <c r="B90" s="2"/>
      <c r="C90" s="62"/>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row>
    <row r="91" spans="1:66" x14ac:dyDescent="0.25">
      <c r="C91" s="62"/>
    </row>
    <row r="92" spans="1:66" x14ac:dyDescent="0.25">
      <c r="C92" s="62"/>
    </row>
    <row r="93" spans="1:66" x14ac:dyDescent="0.25">
      <c r="C93" s="62"/>
    </row>
    <row r="94" spans="1:66" x14ac:dyDescent="0.25">
      <c r="A94" s="81"/>
      <c r="C94" s="62"/>
    </row>
    <row r="95" spans="1:66" x14ac:dyDescent="0.25">
      <c r="A95" s="81"/>
      <c r="C95" s="62"/>
    </row>
    <row r="96" spans="1:66" x14ac:dyDescent="0.25">
      <c r="C96" s="62"/>
    </row>
    <row r="97" spans="3:3" x14ac:dyDescent="0.25">
      <c r="C97" s="62"/>
    </row>
    <row r="98" spans="3:3" x14ac:dyDescent="0.25">
      <c r="C98" s="62"/>
    </row>
    <row r="99" spans="3:3" x14ac:dyDescent="0.25">
      <c r="C99" s="62"/>
    </row>
    <row r="100" spans="3:3" x14ac:dyDescent="0.25">
      <c r="C100" s="62"/>
    </row>
    <row r="101" spans="3:3" x14ac:dyDescent="0.25">
      <c r="C101" s="62"/>
    </row>
    <row r="102" spans="3:3" x14ac:dyDescent="0.25">
      <c r="C102" s="62"/>
    </row>
    <row r="103" spans="3:3" x14ac:dyDescent="0.25">
      <c r="C103" s="62"/>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97"/>
  <sheetViews>
    <sheetView zoomScale="85" zoomScaleNormal="85" workbookViewId="0">
      <pane xSplit="2" ySplit="1" topLeftCell="C70" activePane="bottomRight" state="frozen"/>
      <selection pane="topRight" activeCell="C1" sqref="C1"/>
      <selection pane="bottomLeft" activeCell="A2" sqref="A2"/>
      <selection pane="bottomRight" activeCell="A77" sqref="A77:A83"/>
    </sheetView>
  </sheetViews>
  <sheetFormatPr baseColWidth="10" defaultColWidth="10.7109375" defaultRowHeight="15" x14ac:dyDescent="0.25"/>
  <cols>
    <col min="1" max="1" width="12.28515625" style="2" bestFit="1" customWidth="1"/>
    <col min="2" max="2" width="10" style="2" customWidth="1"/>
    <col min="3" max="3" width="24.140625" style="1" customWidth="1"/>
    <col min="4" max="16384" width="10.7109375" style="1"/>
  </cols>
  <sheetData>
    <row r="1" spans="1:3" s="11" customFormat="1" ht="30" x14ac:dyDescent="0.25">
      <c r="A1" s="82" t="s">
        <v>99</v>
      </c>
      <c r="B1" s="10" t="s">
        <v>0</v>
      </c>
      <c r="C1" s="5" t="s">
        <v>1</v>
      </c>
    </row>
    <row r="2" spans="1:3" x14ac:dyDescent="0.25">
      <c r="A2" s="2">
        <v>6</v>
      </c>
      <c r="B2" s="8">
        <v>1945</v>
      </c>
    </row>
    <row r="3" spans="1:3" x14ac:dyDescent="0.25">
      <c r="A3" s="2">
        <v>6</v>
      </c>
      <c r="B3" s="8">
        <v>1946</v>
      </c>
    </row>
    <row r="4" spans="1:3" x14ac:dyDescent="0.25">
      <c r="A4" s="2">
        <v>6</v>
      </c>
      <c r="B4" s="8">
        <v>1947</v>
      </c>
      <c r="C4" s="67">
        <v>0</v>
      </c>
    </row>
    <row r="5" spans="1:3" x14ac:dyDescent="0.25">
      <c r="A5" s="2">
        <v>6</v>
      </c>
      <c r="B5" s="8">
        <v>1948</v>
      </c>
    </row>
    <row r="6" spans="1:3" x14ac:dyDescent="0.25">
      <c r="A6" s="2">
        <v>6</v>
      </c>
      <c r="B6" s="8">
        <v>1949</v>
      </c>
    </row>
    <row r="7" spans="1:3" x14ac:dyDescent="0.25">
      <c r="A7" s="2">
        <v>6</v>
      </c>
      <c r="B7" s="8">
        <v>1950</v>
      </c>
    </row>
    <row r="8" spans="1:3" x14ac:dyDescent="0.25">
      <c r="A8" s="2">
        <v>6</v>
      </c>
      <c r="B8" s="8">
        <v>1951</v>
      </c>
    </row>
    <row r="9" spans="1:3" x14ac:dyDescent="0.25">
      <c r="A9" s="2">
        <v>6</v>
      </c>
      <c r="B9" s="8">
        <v>1952</v>
      </c>
    </row>
    <row r="10" spans="1:3" x14ac:dyDescent="0.25">
      <c r="A10" s="2">
        <v>6</v>
      </c>
      <c r="B10" s="8">
        <v>1953</v>
      </c>
    </row>
    <row r="11" spans="1:3" x14ac:dyDescent="0.25">
      <c r="A11" s="2">
        <v>6</v>
      </c>
      <c r="B11" s="8">
        <v>1954</v>
      </c>
    </row>
    <row r="12" spans="1:3" x14ac:dyDescent="0.25">
      <c r="A12" s="2">
        <v>6</v>
      </c>
      <c r="B12" s="8">
        <v>1955</v>
      </c>
    </row>
    <row r="13" spans="1:3" x14ac:dyDescent="0.25">
      <c r="A13" s="2">
        <v>6</v>
      </c>
      <c r="B13" s="8">
        <v>1956</v>
      </c>
    </row>
    <row r="14" spans="1:3" x14ac:dyDescent="0.25">
      <c r="A14" s="2">
        <v>6</v>
      </c>
      <c r="B14" s="8">
        <v>1957</v>
      </c>
    </row>
    <row r="15" spans="1:3" x14ac:dyDescent="0.25">
      <c r="A15" s="2">
        <v>6</v>
      </c>
      <c r="B15" s="8">
        <v>1958</v>
      </c>
    </row>
    <row r="16" spans="1:3" x14ac:dyDescent="0.25">
      <c r="A16" s="2">
        <v>6</v>
      </c>
      <c r="B16" s="8">
        <v>1959</v>
      </c>
    </row>
    <row r="17" spans="1:2" x14ac:dyDescent="0.25">
      <c r="A17" s="2">
        <v>6</v>
      </c>
      <c r="B17" s="8">
        <v>1960</v>
      </c>
    </row>
    <row r="18" spans="1:2" x14ac:dyDescent="0.25">
      <c r="A18" s="2">
        <v>6</v>
      </c>
      <c r="B18" s="8">
        <v>1961</v>
      </c>
    </row>
    <row r="19" spans="1:2" x14ac:dyDescent="0.25">
      <c r="A19" s="2">
        <v>6</v>
      </c>
      <c r="B19" s="8">
        <v>1962</v>
      </c>
    </row>
    <row r="20" spans="1:2" x14ac:dyDescent="0.25">
      <c r="A20" s="2">
        <v>6</v>
      </c>
      <c r="B20" s="8">
        <v>1963</v>
      </c>
    </row>
    <row r="21" spans="1:2" x14ac:dyDescent="0.25">
      <c r="A21" s="2">
        <v>6</v>
      </c>
      <c r="B21" s="8">
        <v>1964</v>
      </c>
    </row>
    <row r="22" spans="1:2" x14ac:dyDescent="0.25">
      <c r="A22" s="2">
        <v>6</v>
      </c>
      <c r="B22" s="8">
        <v>1965</v>
      </c>
    </row>
    <row r="23" spans="1:2" x14ac:dyDescent="0.25">
      <c r="A23" s="2">
        <v>6</v>
      </c>
      <c r="B23" s="8">
        <v>1966</v>
      </c>
    </row>
    <row r="24" spans="1:2" x14ac:dyDescent="0.25">
      <c r="A24" s="2">
        <v>6</v>
      </c>
      <c r="B24" s="8">
        <v>1967</v>
      </c>
    </row>
    <row r="25" spans="1:2" x14ac:dyDescent="0.25">
      <c r="A25" s="2">
        <v>6</v>
      </c>
      <c r="B25" s="8">
        <v>1968</v>
      </c>
    </row>
    <row r="26" spans="1:2" x14ac:dyDescent="0.25">
      <c r="A26" s="2">
        <v>6</v>
      </c>
      <c r="B26" s="8">
        <v>1969</v>
      </c>
    </row>
    <row r="27" spans="1:2" x14ac:dyDescent="0.25">
      <c r="A27" s="2">
        <v>6</v>
      </c>
      <c r="B27" s="8">
        <v>1970</v>
      </c>
    </row>
    <row r="28" spans="1:2" x14ac:dyDescent="0.25">
      <c r="A28" s="2">
        <v>6</v>
      </c>
      <c r="B28" s="8">
        <v>1971</v>
      </c>
    </row>
    <row r="29" spans="1:2" x14ac:dyDescent="0.25">
      <c r="A29" s="2">
        <v>9</v>
      </c>
      <c r="B29" s="8">
        <v>1972</v>
      </c>
    </row>
    <row r="30" spans="1:2" x14ac:dyDescent="0.25">
      <c r="A30" s="2">
        <v>9</v>
      </c>
      <c r="B30" s="8">
        <v>1973</v>
      </c>
    </row>
    <row r="31" spans="1:2" x14ac:dyDescent="0.25">
      <c r="A31" s="2">
        <v>9</v>
      </c>
      <c r="B31" s="8">
        <v>1974</v>
      </c>
    </row>
    <row r="32" spans="1:2" x14ac:dyDescent="0.25">
      <c r="A32" s="2">
        <v>9</v>
      </c>
      <c r="B32" s="8">
        <v>1975</v>
      </c>
    </row>
    <row r="33" spans="1:2" x14ac:dyDescent="0.25">
      <c r="A33" s="2">
        <v>9</v>
      </c>
      <c r="B33" s="8">
        <v>1976</v>
      </c>
    </row>
    <row r="34" spans="1:2" x14ac:dyDescent="0.25">
      <c r="A34" s="2">
        <v>9</v>
      </c>
      <c r="B34" s="8">
        <v>1977</v>
      </c>
    </row>
    <row r="35" spans="1:2" x14ac:dyDescent="0.25">
      <c r="A35" s="2">
        <v>9</v>
      </c>
      <c r="B35" s="8">
        <v>1978</v>
      </c>
    </row>
    <row r="36" spans="1:2" x14ac:dyDescent="0.25">
      <c r="A36" s="2">
        <v>9</v>
      </c>
      <c r="B36" s="8">
        <v>1979</v>
      </c>
    </row>
    <row r="37" spans="1:2" x14ac:dyDescent="0.25">
      <c r="A37" s="2">
        <v>10</v>
      </c>
      <c r="B37" s="8">
        <v>1980</v>
      </c>
    </row>
    <row r="38" spans="1:2" x14ac:dyDescent="0.25">
      <c r="A38" s="2">
        <v>10</v>
      </c>
      <c r="B38" s="8">
        <v>1981</v>
      </c>
    </row>
    <row r="39" spans="1:2" x14ac:dyDescent="0.25">
      <c r="A39" s="2">
        <v>10</v>
      </c>
      <c r="B39" s="8">
        <v>1982</v>
      </c>
    </row>
    <row r="40" spans="1:2" x14ac:dyDescent="0.25">
      <c r="A40" s="2">
        <v>10</v>
      </c>
      <c r="B40" s="8">
        <v>1983</v>
      </c>
    </row>
    <row r="41" spans="1:2" x14ac:dyDescent="0.25">
      <c r="A41" s="2">
        <v>10</v>
      </c>
      <c r="B41" s="8">
        <v>1984</v>
      </c>
    </row>
    <row r="42" spans="1:2" x14ac:dyDescent="0.25">
      <c r="A42" s="2">
        <v>10</v>
      </c>
      <c r="B42" s="8">
        <v>1985</v>
      </c>
    </row>
    <row r="43" spans="1:2" x14ac:dyDescent="0.25">
      <c r="A43" s="2">
        <v>12</v>
      </c>
      <c r="B43" s="8">
        <v>1986</v>
      </c>
    </row>
    <row r="44" spans="1:2" x14ac:dyDescent="0.25">
      <c r="A44" s="2">
        <v>12</v>
      </c>
      <c r="B44" s="8">
        <v>1987</v>
      </c>
    </row>
    <row r="45" spans="1:2" x14ac:dyDescent="0.25">
      <c r="A45" s="2">
        <v>12</v>
      </c>
      <c r="B45" s="8">
        <v>1988</v>
      </c>
    </row>
    <row r="46" spans="1:2" x14ac:dyDescent="0.25">
      <c r="A46" s="2">
        <v>12</v>
      </c>
      <c r="B46" s="8">
        <v>1989</v>
      </c>
    </row>
    <row r="47" spans="1:2" x14ac:dyDescent="0.25">
      <c r="A47" s="2">
        <v>12</v>
      </c>
      <c r="B47" s="8">
        <v>1990</v>
      </c>
    </row>
    <row r="48" spans="1:2" x14ac:dyDescent="0.25">
      <c r="A48" s="2">
        <v>12</v>
      </c>
      <c r="B48" s="8">
        <v>1991</v>
      </c>
    </row>
    <row r="49" spans="1:4" x14ac:dyDescent="0.25">
      <c r="A49" s="2">
        <v>12</v>
      </c>
      <c r="B49" s="8">
        <v>1992</v>
      </c>
    </row>
    <row r="50" spans="1:4" x14ac:dyDescent="0.25">
      <c r="A50" s="2">
        <v>12</v>
      </c>
      <c r="B50" s="8">
        <v>1993</v>
      </c>
    </row>
    <row r="51" spans="1:4" x14ac:dyDescent="0.25">
      <c r="A51" s="2">
        <v>12</v>
      </c>
      <c r="B51" s="8">
        <v>1994</v>
      </c>
      <c r="C51" s="85"/>
    </row>
    <row r="52" spans="1:4" x14ac:dyDescent="0.25">
      <c r="A52" s="2">
        <v>12</v>
      </c>
      <c r="B52" s="8">
        <v>1995</v>
      </c>
      <c r="C52" s="85"/>
    </row>
    <row r="53" spans="1:4" x14ac:dyDescent="0.25">
      <c r="A53" s="2">
        <v>15</v>
      </c>
      <c r="B53" s="8">
        <v>1995</v>
      </c>
      <c r="C53" s="85"/>
    </row>
    <row r="54" spans="1:4" x14ac:dyDescent="0.25">
      <c r="A54" s="2">
        <v>15</v>
      </c>
      <c r="B54" s="8">
        <v>1996</v>
      </c>
      <c r="C54" s="85"/>
    </row>
    <row r="55" spans="1:4" x14ac:dyDescent="0.25">
      <c r="A55" s="2">
        <v>15</v>
      </c>
      <c r="B55" s="8">
        <v>1997</v>
      </c>
      <c r="C55" s="85"/>
    </row>
    <row r="56" spans="1:4" x14ac:dyDescent="0.25">
      <c r="A56" s="2">
        <v>15</v>
      </c>
      <c r="B56" s="8">
        <v>1998</v>
      </c>
      <c r="C56" s="85"/>
    </row>
    <row r="57" spans="1:4" x14ac:dyDescent="0.25">
      <c r="A57" s="2">
        <v>15</v>
      </c>
      <c r="B57" s="8">
        <v>1999</v>
      </c>
      <c r="C57" s="85"/>
    </row>
    <row r="58" spans="1:4" x14ac:dyDescent="0.25">
      <c r="A58" s="2">
        <v>15</v>
      </c>
      <c r="B58" s="8">
        <v>2000</v>
      </c>
      <c r="C58" s="85"/>
    </row>
    <row r="59" spans="1:4" x14ac:dyDescent="0.25">
      <c r="A59" s="2">
        <v>15</v>
      </c>
      <c r="B59" s="8">
        <v>2001</v>
      </c>
      <c r="C59" s="85"/>
    </row>
    <row r="60" spans="1:4" x14ac:dyDescent="0.25">
      <c r="A60" s="2">
        <v>15</v>
      </c>
      <c r="B60" s="8">
        <v>2002</v>
      </c>
    </row>
    <row r="61" spans="1:4" x14ac:dyDescent="0.25">
      <c r="A61" s="2">
        <v>15</v>
      </c>
      <c r="B61" s="8">
        <v>2003</v>
      </c>
      <c r="C61" s="85"/>
      <c r="D61" s="62"/>
    </row>
    <row r="62" spans="1:4" x14ac:dyDescent="0.25">
      <c r="A62" s="2">
        <v>27</v>
      </c>
      <c r="B62" s="8">
        <v>2003</v>
      </c>
      <c r="C62" s="85">
        <v>509.61599999999999</v>
      </c>
      <c r="D62" s="62"/>
    </row>
    <row r="63" spans="1:4" x14ac:dyDescent="0.25">
      <c r="A63" s="2">
        <v>27</v>
      </c>
      <c r="B63" s="8">
        <v>2004</v>
      </c>
      <c r="C63" s="85">
        <v>646.22699999999998</v>
      </c>
      <c r="D63" s="62"/>
    </row>
    <row r="64" spans="1:4" x14ac:dyDescent="0.25">
      <c r="A64" s="2">
        <v>27</v>
      </c>
      <c r="B64" s="8">
        <v>2005</v>
      </c>
      <c r="C64" s="85">
        <v>813.60900000000004</v>
      </c>
      <c r="D64" s="62"/>
    </row>
    <row r="65" spans="1:4" x14ac:dyDescent="0.25">
      <c r="A65" s="2">
        <v>27</v>
      </c>
      <c r="B65" s="8">
        <v>2006</v>
      </c>
      <c r="C65" s="85">
        <v>810</v>
      </c>
      <c r="D65" s="62"/>
    </row>
    <row r="66" spans="1:4" x14ac:dyDescent="0.25">
      <c r="A66" s="2">
        <v>27</v>
      </c>
      <c r="B66" s="8">
        <v>2007</v>
      </c>
      <c r="C66" s="85">
        <v>804.54899999999998</v>
      </c>
      <c r="D66" s="62"/>
    </row>
    <row r="67" spans="1:4" x14ac:dyDescent="0.25">
      <c r="A67" s="2">
        <v>27</v>
      </c>
      <c r="B67" s="8">
        <v>2008</v>
      </c>
      <c r="C67" s="85">
        <v>732.27300000000002</v>
      </c>
      <c r="D67" s="62"/>
    </row>
    <row r="68" spans="1:4" x14ac:dyDescent="0.25">
      <c r="A68" s="2">
        <v>27</v>
      </c>
      <c r="B68" s="8">
        <v>2009</v>
      </c>
      <c r="C68" s="85">
        <v>618.51900000000001</v>
      </c>
      <c r="D68" s="62"/>
    </row>
    <row r="69" spans="1:4" x14ac:dyDescent="0.25">
      <c r="A69" s="2">
        <v>27</v>
      </c>
      <c r="B69" s="8">
        <v>2010</v>
      </c>
      <c r="C69" s="85">
        <v>577.404</v>
      </c>
      <c r="D69" s="62"/>
    </row>
    <row r="70" spans="1:4" x14ac:dyDescent="0.25">
      <c r="A70" s="2">
        <v>27</v>
      </c>
      <c r="B70" s="8">
        <v>2011</v>
      </c>
      <c r="C70" s="85">
        <v>623.62900000000002</v>
      </c>
      <c r="D70" s="62"/>
    </row>
    <row r="71" spans="1:4" x14ac:dyDescent="0.25">
      <c r="A71" s="2">
        <v>28</v>
      </c>
      <c r="B71" s="8">
        <v>2012</v>
      </c>
      <c r="C71" s="85">
        <v>722.11400000000003</v>
      </c>
      <c r="D71" s="62"/>
    </row>
    <row r="72" spans="1:4" x14ac:dyDescent="0.25">
      <c r="A72" s="2">
        <v>28</v>
      </c>
      <c r="B72" s="8">
        <v>2013</v>
      </c>
      <c r="C72" s="85">
        <v>728.94299999999998</v>
      </c>
      <c r="D72" s="62"/>
    </row>
    <row r="73" spans="1:4" x14ac:dyDescent="0.25">
      <c r="A73" s="2">
        <v>28</v>
      </c>
      <c r="B73" s="8">
        <v>2014</v>
      </c>
      <c r="C73" s="85">
        <v>1141.9649999999999</v>
      </c>
      <c r="D73" s="62"/>
    </row>
    <row r="74" spans="1:4" x14ac:dyDescent="0.25">
      <c r="A74" s="2">
        <v>28</v>
      </c>
      <c r="B74" s="8">
        <v>2015</v>
      </c>
      <c r="C74" s="85">
        <v>873.85500000000002</v>
      </c>
      <c r="D74" s="62"/>
    </row>
    <row r="75" spans="1:4" x14ac:dyDescent="0.25">
      <c r="A75" s="2">
        <v>28</v>
      </c>
      <c r="B75" s="8">
        <v>2016</v>
      </c>
      <c r="C75" s="85">
        <v>1001.8440000000001</v>
      </c>
      <c r="D75" s="62"/>
    </row>
    <row r="76" spans="1:4" x14ac:dyDescent="0.25">
      <c r="A76" s="2">
        <v>28</v>
      </c>
      <c r="B76" s="8">
        <v>2017</v>
      </c>
      <c r="C76" s="85">
        <v>2117.5160000000001</v>
      </c>
      <c r="D76" s="62"/>
    </row>
    <row r="77" spans="1:4" x14ac:dyDescent="0.25">
      <c r="A77" s="2">
        <v>272020</v>
      </c>
      <c r="B77" s="8">
        <v>2017</v>
      </c>
      <c r="C77" s="85">
        <v>1354.4259999999999</v>
      </c>
      <c r="D77" s="62"/>
    </row>
    <row r="78" spans="1:4" x14ac:dyDescent="0.25">
      <c r="A78" s="2">
        <v>272020</v>
      </c>
      <c r="B78" s="8">
        <v>2018</v>
      </c>
      <c r="C78" s="85">
        <v>789.87</v>
      </c>
    </row>
    <row r="79" spans="1:4" x14ac:dyDescent="0.25">
      <c r="A79" s="2">
        <v>272020</v>
      </c>
      <c r="B79" s="8">
        <v>2019</v>
      </c>
      <c r="C79" s="85">
        <v>1845.796</v>
      </c>
    </row>
    <row r="80" spans="1:4" x14ac:dyDescent="0.25">
      <c r="A80" s="2">
        <v>272020</v>
      </c>
      <c r="B80" s="8">
        <v>2020</v>
      </c>
      <c r="C80" s="85">
        <v>5779.6719999999996</v>
      </c>
    </row>
    <row r="81" spans="1:62" x14ac:dyDescent="0.25">
      <c r="A81" s="2">
        <v>272020</v>
      </c>
      <c r="B81" s="8">
        <v>2021</v>
      </c>
      <c r="C81" s="85">
        <v>1688.5260000000001</v>
      </c>
    </row>
    <row r="82" spans="1:62" s="4" customFormat="1" x14ac:dyDescent="0.25">
      <c r="A82" s="2">
        <v>272020</v>
      </c>
      <c r="B82" s="8">
        <v>2022</v>
      </c>
      <c r="C82" s="85">
        <v>1631.7360000000001</v>
      </c>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spans="1:62" s="4" customFormat="1" x14ac:dyDescent="0.25">
      <c r="A83" s="2">
        <v>272020</v>
      </c>
      <c r="B83" s="8">
        <v>2023</v>
      </c>
      <c r="C83" s="85">
        <v>2028.682</v>
      </c>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spans="1:62" s="4" customFormat="1" x14ac:dyDescent="0.25">
      <c r="A84" s="2"/>
      <c r="B84" s="2"/>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7" spans="1:62" x14ac:dyDescent="0.25">
      <c r="A87" s="81"/>
    </row>
    <row r="88" spans="1:62" x14ac:dyDescent="0.25">
      <c r="A88" s="81"/>
    </row>
    <row r="89" spans="1:62" x14ac:dyDescent="0.25">
      <c r="A89" s="81"/>
    </row>
    <row r="91" spans="1:62" s="4" customFormat="1" x14ac:dyDescent="0.25">
      <c r="A91" s="2"/>
      <c r="B91" s="2"/>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row>
    <row r="92" spans="1:62" s="4" customFormat="1" x14ac:dyDescent="0.25">
      <c r="A92" s="2"/>
      <c r="B92" s="2"/>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row>
    <row r="96" spans="1:62" x14ac:dyDescent="0.25">
      <c r="A96" s="81"/>
    </row>
    <row r="97" spans="1:1" x14ac:dyDescent="0.25">
      <c r="A97" s="81"/>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P97"/>
  <sheetViews>
    <sheetView zoomScale="70" zoomScaleNormal="70" workbookViewId="0">
      <pane xSplit="2" ySplit="1" topLeftCell="C36" activePane="bottomRight" state="frozen"/>
      <selection pane="topRight" activeCell="C1" sqref="C1"/>
      <selection pane="bottomLeft" activeCell="A2" sqref="A2"/>
      <selection pane="bottomRight" activeCell="G77" sqref="G77"/>
    </sheetView>
  </sheetViews>
  <sheetFormatPr baseColWidth="10" defaultColWidth="10.7109375" defaultRowHeight="15" x14ac:dyDescent="0.25"/>
  <cols>
    <col min="1" max="1" width="12.28515625" style="2" bestFit="1" customWidth="1"/>
    <col min="2" max="2" width="9.28515625" style="2" customWidth="1"/>
    <col min="3" max="3" width="19.7109375" style="6" customWidth="1"/>
    <col min="4" max="16384" width="10.7109375" style="1"/>
  </cols>
  <sheetData>
    <row r="1" spans="1:3" s="11" customFormat="1" ht="30" x14ac:dyDescent="0.25">
      <c r="A1" s="82" t="s">
        <v>99</v>
      </c>
      <c r="B1" s="10" t="s">
        <v>0</v>
      </c>
      <c r="C1" s="5" t="s">
        <v>1</v>
      </c>
    </row>
    <row r="2" spans="1:3" x14ac:dyDescent="0.25">
      <c r="A2" s="2">
        <v>6</v>
      </c>
      <c r="B2" s="8">
        <v>1945</v>
      </c>
    </row>
    <row r="3" spans="1:3" x14ac:dyDescent="0.25">
      <c r="A3" s="2">
        <v>6</v>
      </c>
      <c r="B3" s="8">
        <v>1946</v>
      </c>
    </row>
    <row r="4" spans="1:3" x14ac:dyDescent="0.25">
      <c r="A4" s="2">
        <v>6</v>
      </c>
      <c r="B4" s="8">
        <v>1947</v>
      </c>
      <c r="C4" s="67">
        <v>0</v>
      </c>
    </row>
    <row r="5" spans="1:3" x14ac:dyDescent="0.25">
      <c r="A5" s="2">
        <v>6</v>
      </c>
      <c r="B5" s="8">
        <v>1948</v>
      </c>
    </row>
    <row r="6" spans="1:3" x14ac:dyDescent="0.25">
      <c r="A6" s="2">
        <v>6</v>
      </c>
      <c r="B6" s="8">
        <v>1949</v>
      </c>
    </row>
    <row r="7" spans="1:3" x14ac:dyDescent="0.25">
      <c r="A7" s="2">
        <v>6</v>
      </c>
      <c r="B7" s="8">
        <v>1950</v>
      </c>
    </row>
    <row r="8" spans="1:3" x14ac:dyDescent="0.25">
      <c r="A8" s="2">
        <v>6</v>
      </c>
      <c r="B8" s="8">
        <v>1951</v>
      </c>
    </row>
    <row r="9" spans="1:3" x14ac:dyDescent="0.25">
      <c r="A9" s="2">
        <v>6</v>
      </c>
      <c r="B9" s="8">
        <v>1952</v>
      </c>
    </row>
    <row r="10" spans="1:3" x14ac:dyDescent="0.25">
      <c r="A10" s="2">
        <v>6</v>
      </c>
      <c r="B10" s="8">
        <v>1953</v>
      </c>
    </row>
    <row r="11" spans="1:3" x14ac:dyDescent="0.25">
      <c r="A11" s="2">
        <v>6</v>
      </c>
      <c r="B11" s="8">
        <v>1954</v>
      </c>
    </row>
    <row r="12" spans="1:3" x14ac:dyDescent="0.25">
      <c r="A12" s="2">
        <v>6</v>
      </c>
      <c r="B12" s="8">
        <v>1955</v>
      </c>
    </row>
    <row r="13" spans="1:3" x14ac:dyDescent="0.25">
      <c r="A13" s="2">
        <v>6</v>
      </c>
      <c r="B13" s="8">
        <v>1956</v>
      </c>
    </row>
    <row r="14" spans="1:3" x14ac:dyDescent="0.25">
      <c r="A14" s="2">
        <v>6</v>
      </c>
      <c r="B14" s="8">
        <v>1957</v>
      </c>
    </row>
    <row r="15" spans="1:3" x14ac:dyDescent="0.25">
      <c r="A15" s="2">
        <v>6</v>
      </c>
      <c r="B15" s="8">
        <v>1958</v>
      </c>
    </row>
    <row r="16" spans="1:3" x14ac:dyDescent="0.25">
      <c r="A16" s="2">
        <v>6</v>
      </c>
      <c r="B16" s="8">
        <v>1959</v>
      </c>
    </row>
    <row r="17" spans="1:2" x14ac:dyDescent="0.25">
      <c r="A17" s="2">
        <v>6</v>
      </c>
      <c r="B17" s="8">
        <v>1960</v>
      </c>
    </row>
    <row r="18" spans="1:2" x14ac:dyDescent="0.25">
      <c r="A18" s="2">
        <v>6</v>
      </c>
      <c r="B18" s="8">
        <v>1961</v>
      </c>
    </row>
    <row r="19" spans="1:2" x14ac:dyDescent="0.25">
      <c r="A19" s="2">
        <v>6</v>
      </c>
      <c r="B19" s="8">
        <v>1962</v>
      </c>
    </row>
    <row r="20" spans="1:2" x14ac:dyDescent="0.25">
      <c r="A20" s="2">
        <v>6</v>
      </c>
      <c r="B20" s="8">
        <v>1963</v>
      </c>
    </row>
    <row r="21" spans="1:2" x14ac:dyDescent="0.25">
      <c r="A21" s="2">
        <v>6</v>
      </c>
      <c r="B21" s="8">
        <v>1964</v>
      </c>
    </row>
    <row r="22" spans="1:2" x14ac:dyDescent="0.25">
      <c r="A22" s="2">
        <v>6</v>
      </c>
      <c r="B22" s="8">
        <v>1965</v>
      </c>
    </row>
    <row r="23" spans="1:2" x14ac:dyDescent="0.25">
      <c r="A23" s="2">
        <v>6</v>
      </c>
      <c r="B23" s="8">
        <v>1966</v>
      </c>
    </row>
    <row r="24" spans="1:2" x14ac:dyDescent="0.25">
      <c r="A24" s="2">
        <v>6</v>
      </c>
      <c r="B24" s="8">
        <v>1967</v>
      </c>
    </row>
    <row r="25" spans="1:2" x14ac:dyDescent="0.25">
      <c r="A25" s="2">
        <v>6</v>
      </c>
      <c r="B25" s="8">
        <v>1968</v>
      </c>
    </row>
    <row r="26" spans="1:2" x14ac:dyDescent="0.25">
      <c r="A26" s="2">
        <v>6</v>
      </c>
      <c r="B26" s="8">
        <v>1969</v>
      </c>
    </row>
    <row r="27" spans="1:2" x14ac:dyDescent="0.25">
      <c r="A27" s="2">
        <v>6</v>
      </c>
      <c r="B27" s="8">
        <v>1970</v>
      </c>
    </row>
    <row r="28" spans="1:2" x14ac:dyDescent="0.25">
      <c r="A28" s="2">
        <v>6</v>
      </c>
      <c r="B28" s="8">
        <v>1971</v>
      </c>
    </row>
    <row r="29" spans="1:2" x14ac:dyDescent="0.25">
      <c r="A29" s="2">
        <v>9</v>
      </c>
      <c r="B29" s="8">
        <v>1972</v>
      </c>
    </row>
    <row r="30" spans="1:2" x14ac:dyDescent="0.25">
      <c r="A30" s="2">
        <v>9</v>
      </c>
      <c r="B30" s="8">
        <v>1973</v>
      </c>
    </row>
    <row r="31" spans="1:2" x14ac:dyDescent="0.25">
      <c r="A31" s="2">
        <v>9</v>
      </c>
      <c r="B31" s="8">
        <v>1974</v>
      </c>
    </row>
    <row r="32" spans="1:2" x14ac:dyDescent="0.25">
      <c r="A32" s="2">
        <v>9</v>
      </c>
      <c r="B32" s="8">
        <v>1975</v>
      </c>
    </row>
    <row r="33" spans="1:4" x14ac:dyDescent="0.25">
      <c r="A33" s="2">
        <v>9</v>
      </c>
      <c r="B33" s="8">
        <v>1976</v>
      </c>
    </row>
    <row r="34" spans="1:4" x14ac:dyDescent="0.25">
      <c r="A34" s="2">
        <v>9</v>
      </c>
      <c r="B34" s="8">
        <v>1977</v>
      </c>
    </row>
    <row r="35" spans="1:4" x14ac:dyDescent="0.25">
      <c r="A35" s="2">
        <v>9</v>
      </c>
      <c r="B35" s="8">
        <v>1978</v>
      </c>
    </row>
    <row r="36" spans="1:4" x14ac:dyDescent="0.25">
      <c r="A36" s="2">
        <v>9</v>
      </c>
      <c r="B36" s="8">
        <v>1979</v>
      </c>
    </row>
    <row r="37" spans="1:4" x14ac:dyDescent="0.25">
      <c r="A37" s="2">
        <v>10</v>
      </c>
      <c r="B37" s="8">
        <v>1980</v>
      </c>
    </row>
    <row r="38" spans="1:4" x14ac:dyDescent="0.25">
      <c r="A38" s="2">
        <v>10</v>
      </c>
      <c r="B38" s="8">
        <v>1981</v>
      </c>
      <c r="D38" s="7"/>
    </row>
    <row r="39" spans="1:4" x14ac:dyDescent="0.25">
      <c r="A39" s="2">
        <v>10</v>
      </c>
      <c r="B39" s="8">
        <v>1982</v>
      </c>
      <c r="D39" s="7"/>
    </row>
    <row r="40" spans="1:4" x14ac:dyDescent="0.25">
      <c r="A40" s="2">
        <v>10</v>
      </c>
      <c r="B40" s="8">
        <v>1983</v>
      </c>
      <c r="D40" s="7"/>
    </row>
    <row r="41" spans="1:4" x14ac:dyDescent="0.25">
      <c r="A41" s="2">
        <v>10</v>
      </c>
      <c r="B41" s="8">
        <v>1984</v>
      </c>
      <c r="D41" s="7"/>
    </row>
    <row r="42" spans="1:4" x14ac:dyDescent="0.25">
      <c r="A42" s="2">
        <v>10</v>
      </c>
      <c r="B42" s="8">
        <v>1985</v>
      </c>
      <c r="D42" s="7"/>
    </row>
    <row r="43" spans="1:4" x14ac:dyDescent="0.25">
      <c r="A43" s="2">
        <v>12</v>
      </c>
      <c r="B43" s="8">
        <v>1986</v>
      </c>
      <c r="D43" s="7"/>
    </row>
    <row r="44" spans="1:4" x14ac:dyDescent="0.25">
      <c r="A44" s="2">
        <v>12</v>
      </c>
      <c r="B44" s="8">
        <v>1987</v>
      </c>
      <c r="D44" s="7"/>
    </row>
    <row r="45" spans="1:4" x14ac:dyDescent="0.25">
      <c r="A45" s="2">
        <v>12</v>
      </c>
      <c r="B45" s="8">
        <v>1988</v>
      </c>
      <c r="D45" s="7"/>
    </row>
    <row r="46" spans="1:4" x14ac:dyDescent="0.25">
      <c r="A46" s="2">
        <v>12</v>
      </c>
      <c r="B46" s="8">
        <v>1989</v>
      </c>
      <c r="D46" s="7"/>
    </row>
    <row r="47" spans="1:4" x14ac:dyDescent="0.25">
      <c r="A47" s="2">
        <v>12</v>
      </c>
      <c r="B47" s="8">
        <v>1990</v>
      </c>
      <c r="D47" s="7"/>
    </row>
    <row r="48" spans="1:4" x14ac:dyDescent="0.25">
      <c r="A48" s="2">
        <v>12</v>
      </c>
      <c r="B48" s="8">
        <v>1991</v>
      </c>
      <c r="D48" s="7"/>
    </row>
    <row r="49" spans="1:4" x14ac:dyDescent="0.25">
      <c r="A49" s="2">
        <v>12</v>
      </c>
      <c r="B49" s="8">
        <v>1992</v>
      </c>
      <c r="D49" s="7"/>
    </row>
    <row r="50" spans="1:4" x14ac:dyDescent="0.25">
      <c r="A50" s="2">
        <v>12</v>
      </c>
      <c r="B50" s="8">
        <v>1993</v>
      </c>
      <c r="D50" s="7"/>
    </row>
    <row r="51" spans="1:4" x14ac:dyDescent="0.25">
      <c r="A51" s="2">
        <v>12</v>
      </c>
      <c r="B51" s="8">
        <v>1994</v>
      </c>
      <c r="D51" s="7"/>
    </row>
    <row r="52" spans="1:4" x14ac:dyDescent="0.25">
      <c r="A52" s="2">
        <v>12</v>
      </c>
      <c r="B52" s="8">
        <v>1995</v>
      </c>
      <c r="D52" s="7"/>
    </row>
    <row r="53" spans="1:4" x14ac:dyDescent="0.25">
      <c r="A53" s="2">
        <v>15</v>
      </c>
      <c r="B53" s="8">
        <v>1995</v>
      </c>
      <c r="D53" s="7"/>
    </row>
    <row r="54" spans="1:4" x14ac:dyDescent="0.25">
      <c r="A54" s="2">
        <v>15</v>
      </c>
      <c r="B54" s="8">
        <v>1996</v>
      </c>
      <c r="D54" s="7"/>
    </row>
    <row r="55" spans="1:4" x14ac:dyDescent="0.25">
      <c r="A55" s="2">
        <v>15</v>
      </c>
      <c r="B55" s="8">
        <v>1997</v>
      </c>
      <c r="D55" s="7"/>
    </row>
    <row r="56" spans="1:4" x14ac:dyDescent="0.25">
      <c r="A56" s="2">
        <v>15</v>
      </c>
      <c r="B56" s="8">
        <v>1998</v>
      </c>
      <c r="D56" s="7"/>
    </row>
    <row r="57" spans="1:4" x14ac:dyDescent="0.25">
      <c r="A57" s="2">
        <v>15</v>
      </c>
      <c r="B57" s="8">
        <v>1999</v>
      </c>
      <c r="D57" s="7"/>
    </row>
    <row r="58" spans="1:4" x14ac:dyDescent="0.25">
      <c r="A58" s="2">
        <v>15</v>
      </c>
      <c r="B58" s="8">
        <v>2000</v>
      </c>
      <c r="D58" s="7"/>
    </row>
    <row r="59" spans="1:4" x14ac:dyDescent="0.25">
      <c r="A59" s="2">
        <v>15</v>
      </c>
      <c r="B59" s="8">
        <v>2001</v>
      </c>
      <c r="D59" s="7"/>
    </row>
    <row r="60" spans="1:4" x14ac:dyDescent="0.25">
      <c r="A60" s="2">
        <v>15</v>
      </c>
      <c r="B60" s="8">
        <v>2002</v>
      </c>
      <c r="D60" s="7"/>
    </row>
    <row r="61" spans="1:4" x14ac:dyDescent="0.25">
      <c r="A61" s="2">
        <v>15</v>
      </c>
      <c r="B61" s="8">
        <v>2003</v>
      </c>
      <c r="D61" s="7"/>
    </row>
    <row r="62" spans="1:4" x14ac:dyDescent="0.25">
      <c r="A62" s="2">
        <v>27</v>
      </c>
      <c r="B62" s="8">
        <v>2003</v>
      </c>
      <c r="C62" s="6">
        <v>1722.568</v>
      </c>
      <c r="D62" s="7"/>
    </row>
    <row r="63" spans="1:4" x14ac:dyDescent="0.25">
      <c r="A63" s="2">
        <v>27</v>
      </c>
      <c r="B63" s="8">
        <v>2004</v>
      </c>
      <c r="C63" s="6">
        <v>1544.7529999999999</v>
      </c>
      <c r="D63" s="7"/>
    </row>
    <row r="64" spans="1:4" x14ac:dyDescent="0.25">
      <c r="A64" s="2">
        <v>27</v>
      </c>
      <c r="B64" s="8">
        <v>2005</v>
      </c>
      <c r="C64" s="6">
        <v>1326.1379999999999</v>
      </c>
      <c r="D64" s="7"/>
    </row>
    <row r="65" spans="1:4" x14ac:dyDescent="0.25">
      <c r="A65" s="2">
        <v>27</v>
      </c>
      <c r="B65" s="8">
        <v>2006</v>
      </c>
      <c r="C65" s="6">
        <v>2641.1060000000002</v>
      </c>
      <c r="D65" s="7"/>
    </row>
    <row r="66" spans="1:4" x14ac:dyDescent="0.25">
      <c r="A66" s="2">
        <v>27</v>
      </c>
      <c r="B66" s="8">
        <v>2007</v>
      </c>
      <c r="C66" s="6">
        <v>3148.8449999999998</v>
      </c>
      <c r="D66" s="7"/>
    </row>
    <row r="67" spans="1:4" x14ac:dyDescent="0.25">
      <c r="A67" s="2">
        <v>27</v>
      </c>
      <c r="B67" s="8">
        <v>2008</v>
      </c>
      <c r="C67" s="6">
        <v>2422.9180000000001</v>
      </c>
      <c r="D67" s="7"/>
    </row>
    <row r="68" spans="1:4" x14ac:dyDescent="0.25">
      <c r="A68" s="2">
        <v>27</v>
      </c>
      <c r="B68" s="8">
        <v>2009</v>
      </c>
      <c r="C68" s="6">
        <v>1868.1790000000001</v>
      </c>
      <c r="D68" s="7"/>
    </row>
    <row r="69" spans="1:4" x14ac:dyDescent="0.25">
      <c r="A69" s="2">
        <v>27</v>
      </c>
      <c r="B69" s="8">
        <v>2010</v>
      </c>
      <c r="C69" s="6">
        <v>2025.9480000000001</v>
      </c>
      <c r="D69" s="7"/>
    </row>
    <row r="70" spans="1:4" x14ac:dyDescent="0.25">
      <c r="A70" s="2">
        <v>27</v>
      </c>
      <c r="B70" s="8">
        <v>2011</v>
      </c>
      <c r="C70" s="6">
        <v>2480.3870000000002</v>
      </c>
      <c r="D70" s="7"/>
    </row>
    <row r="71" spans="1:4" x14ac:dyDescent="0.25">
      <c r="A71" s="2">
        <v>28</v>
      </c>
      <c r="B71" s="8">
        <v>2012</v>
      </c>
      <c r="C71" s="6">
        <v>2572.4760000000001</v>
      </c>
      <c r="D71" s="7"/>
    </row>
    <row r="72" spans="1:4" x14ac:dyDescent="0.25">
      <c r="A72" s="2">
        <v>28</v>
      </c>
      <c r="B72" s="8">
        <v>2013</v>
      </c>
      <c r="C72" s="6">
        <v>2472.8229999999999</v>
      </c>
      <c r="D72" s="7"/>
    </row>
    <row r="73" spans="1:4" x14ac:dyDescent="0.25">
      <c r="A73" s="2">
        <v>28</v>
      </c>
      <c r="B73" s="8">
        <v>2014</v>
      </c>
      <c r="C73" s="6">
        <v>2628.556</v>
      </c>
    </row>
    <row r="74" spans="1:4" x14ac:dyDescent="0.25">
      <c r="A74" s="2">
        <v>28</v>
      </c>
      <c r="B74" s="8">
        <v>2015</v>
      </c>
      <c r="C74" s="6">
        <v>2833.78</v>
      </c>
    </row>
    <row r="75" spans="1:4" x14ac:dyDescent="0.25">
      <c r="A75" s="2">
        <v>28</v>
      </c>
      <c r="B75" s="8">
        <v>2016</v>
      </c>
      <c r="C75" s="6">
        <v>2941.31</v>
      </c>
    </row>
    <row r="76" spans="1:4" x14ac:dyDescent="0.25">
      <c r="A76" s="2">
        <v>28</v>
      </c>
      <c r="B76" s="8">
        <v>2017</v>
      </c>
      <c r="C76" s="6">
        <v>3406.7809999999999</v>
      </c>
    </row>
    <row r="77" spans="1:4" x14ac:dyDescent="0.25">
      <c r="A77" s="2">
        <v>272020</v>
      </c>
      <c r="B77" s="8">
        <v>2017</v>
      </c>
      <c r="C77" s="6">
        <v>4332.1689999999999</v>
      </c>
    </row>
    <row r="78" spans="1:4" x14ac:dyDescent="0.25">
      <c r="A78" s="2">
        <v>272020</v>
      </c>
      <c r="B78" s="8">
        <v>2018</v>
      </c>
      <c r="C78" s="6">
        <v>4084.5790000000002</v>
      </c>
    </row>
    <row r="79" spans="1:4" x14ac:dyDescent="0.25">
      <c r="A79" s="2">
        <v>272020</v>
      </c>
      <c r="B79" s="8">
        <v>2019</v>
      </c>
      <c r="C79" s="6">
        <v>3894.1320000000001</v>
      </c>
    </row>
    <row r="80" spans="1:4" x14ac:dyDescent="0.25">
      <c r="A80" s="2">
        <v>272020</v>
      </c>
      <c r="B80" s="8">
        <v>2020</v>
      </c>
      <c r="C80" s="6">
        <v>3540.7150000000001</v>
      </c>
    </row>
    <row r="81" spans="1:68" x14ac:dyDescent="0.25">
      <c r="A81" s="2">
        <v>272020</v>
      </c>
      <c r="B81" s="8">
        <v>2021</v>
      </c>
      <c r="C81" s="6">
        <v>3681.2550000000001</v>
      </c>
    </row>
    <row r="82" spans="1:68" s="4" customFormat="1" x14ac:dyDescent="0.25">
      <c r="A82" s="2">
        <v>272020</v>
      </c>
      <c r="B82" s="8">
        <v>2022</v>
      </c>
      <c r="C82" s="6">
        <v>3996.89</v>
      </c>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row>
    <row r="83" spans="1:68" s="4" customFormat="1" x14ac:dyDescent="0.25">
      <c r="A83" s="2">
        <v>272020</v>
      </c>
      <c r="B83" s="8">
        <v>2023</v>
      </c>
      <c r="C83" s="6">
        <v>3888.9009999999998</v>
      </c>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row>
    <row r="84" spans="1:68" s="4" customFormat="1" x14ac:dyDescent="0.25">
      <c r="A84" s="2"/>
      <c r="B84" s="2"/>
      <c r="C84" s="6"/>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row>
    <row r="87" spans="1:68" x14ac:dyDescent="0.25">
      <c r="A87" s="81"/>
    </row>
    <row r="88" spans="1:68" x14ac:dyDescent="0.25">
      <c r="A88" s="81"/>
    </row>
    <row r="89" spans="1:68" x14ac:dyDescent="0.25">
      <c r="A89" s="81"/>
    </row>
    <row r="91" spans="1:68" s="4" customFormat="1" x14ac:dyDescent="0.25">
      <c r="A91" s="2"/>
      <c r="B91" s="2"/>
      <c r="C91" s="6"/>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row>
    <row r="92" spans="1:68" s="4" customFormat="1" x14ac:dyDescent="0.25">
      <c r="A92" s="2"/>
      <c r="B92" s="2"/>
      <c r="C92" s="6"/>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row>
    <row r="96" spans="1:68" x14ac:dyDescent="0.25">
      <c r="A96" s="81"/>
    </row>
    <row r="97" spans="1:1" x14ac:dyDescent="0.25">
      <c r="A97" s="81"/>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94"/>
  <sheetViews>
    <sheetView zoomScale="85" zoomScaleNormal="85" workbookViewId="0">
      <pane xSplit="2" ySplit="1" topLeftCell="C50" activePane="bottomRight" state="frozen"/>
      <selection pane="topRight" activeCell="C1" sqref="C1"/>
      <selection pane="bottomLeft" activeCell="A2" sqref="A2"/>
      <selection pane="bottomRight" activeCell="A76" sqref="A76:A82"/>
    </sheetView>
  </sheetViews>
  <sheetFormatPr baseColWidth="10" defaultColWidth="10.7109375" defaultRowHeight="15" x14ac:dyDescent="0.25"/>
  <cols>
    <col min="1" max="1" width="12.28515625" style="2" bestFit="1" customWidth="1"/>
    <col min="2" max="2" width="12.28515625" style="2" customWidth="1"/>
    <col min="3" max="3" width="22.28515625" style="4" customWidth="1"/>
    <col min="4" max="5" width="22.28515625" style="1" customWidth="1"/>
    <col min="6" max="16384" width="10.7109375" style="1"/>
  </cols>
  <sheetData>
    <row r="1" spans="1:5" s="11" customFormat="1" ht="30" x14ac:dyDescent="0.25">
      <c r="A1" s="82" t="s">
        <v>99</v>
      </c>
      <c r="B1" s="10" t="s">
        <v>0</v>
      </c>
      <c r="C1" s="5" t="s">
        <v>70</v>
      </c>
      <c r="D1" s="5" t="s">
        <v>73</v>
      </c>
      <c r="E1" s="5" t="s">
        <v>74</v>
      </c>
    </row>
    <row r="2" spans="1:5" x14ac:dyDescent="0.25">
      <c r="A2" s="2">
        <v>6</v>
      </c>
      <c r="B2" s="8">
        <v>1945</v>
      </c>
      <c r="C2" s="7"/>
    </row>
    <row r="3" spans="1:5" x14ac:dyDescent="0.25">
      <c r="A3" s="2">
        <v>6</v>
      </c>
      <c r="B3" s="8">
        <v>1946</v>
      </c>
    </row>
    <row r="4" spans="1:5" x14ac:dyDescent="0.25">
      <c r="A4" s="2">
        <v>6</v>
      </c>
      <c r="B4" s="8">
        <v>1947</v>
      </c>
      <c r="C4" s="7">
        <f>2*4</f>
        <v>8</v>
      </c>
      <c r="D4" s="7">
        <f>2*3</f>
        <v>6</v>
      </c>
      <c r="E4" s="7">
        <f>2*5.5</f>
        <v>11</v>
      </c>
    </row>
    <row r="5" spans="1:5" x14ac:dyDescent="0.25">
      <c r="A5" s="2">
        <v>6</v>
      </c>
      <c r="B5" s="8">
        <v>1948</v>
      </c>
      <c r="C5" s="7"/>
      <c r="D5" s="7"/>
      <c r="E5" s="7"/>
    </row>
    <row r="6" spans="1:5" x14ac:dyDescent="0.25">
      <c r="A6" s="2">
        <v>6</v>
      </c>
      <c r="B6" s="8">
        <v>1949</v>
      </c>
      <c r="C6" s="7"/>
      <c r="D6" s="7"/>
      <c r="E6" s="7"/>
    </row>
    <row r="7" spans="1:5" x14ac:dyDescent="0.25">
      <c r="A7" s="2">
        <v>6</v>
      </c>
      <c r="B7" s="8">
        <v>1950</v>
      </c>
      <c r="D7" s="4"/>
      <c r="E7" s="4"/>
    </row>
    <row r="8" spans="1:5" x14ac:dyDescent="0.25">
      <c r="A8" s="2">
        <v>6</v>
      </c>
      <c r="B8" s="8">
        <v>1951</v>
      </c>
      <c r="C8" s="7"/>
      <c r="D8" s="7"/>
      <c r="E8" s="7"/>
    </row>
    <row r="9" spans="1:5" x14ac:dyDescent="0.25">
      <c r="A9" s="2">
        <v>6</v>
      </c>
      <c r="B9" s="8">
        <v>1952</v>
      </c>
      <c r="C9" s="7"/>
      <c r="D9" s="7"/>
      <c r="E9" s="7"/>
    </row>
    <row r="10" spans="1:5" x14ac:dyDescent="0.25">
      <c r="A10" s="2">
        <v>6</v>
      </c>
      <c r="B10" s="8">
        <v>1953</v>
      </c>
      <c r="D10" s="4"/>
      <c r="E10" s="4"/>
    </row>
    <row r="11" spans="1:5" x14ac:dyDescent="0.25">
      <c r="A11" s="2">
        <v>6</v>
      </c>
      <c r="B11" s="8">
        <v>1954</v>
      </c>
      <c r="C11" s="7"/>
      <c r="D11" s="7"/>
      <c r="E11" s="7"/>
    </row>
    <row r="12" spans="1:5" x14ac:dyDescent="0.25">
      <c r="A12" s="2">
        <v>6</v>
      </c>
      <c r="B12" s="8">
        <v>1955</v>
      </c>
      <c r="C12" s="7">
        <f>2*4</f>
        <v>8</v>
      </c>
      <c r="D12" s="7">
        <f>2*3</f>
        <v>6</v>
      </c>
      <c r="E12" s="7">
        <f>2*5.5</f>
        <v>11</v>
      </c>
    </row>
    <row r="13" spans="1:5" x14ac:dyDescent="0.25">
      <c r="A13" s="2">
        <v>6</v>
      </c>
      <c r="B13" s="8">
        <v>1956</v>
      </c>
      <c r="C13" s="1"/>
    </row>
    <row r="14" spans="1:5" x14ac:dyDescent="0.25">
      <c r="A14" s="2">
        <v>6</v>
      </c>
      <c r="B14" s="8">
        <v>1957</v>
      </c>
      <c r="C14" s="1"/>
    </row>
    <row r="15" spans="1:5" x14ac:dyDescent="0.25">
      <c r="A15" s="2">
        <v>6</v>
      </c>
      <c r="B15" s="8">
        <v>1958</v>
      </c>
      <c r="C15" s="7"/>
      <c r="D15" s="7"/>
      <c r="E15" s="7"/>
    </row>
    <row r="16" spans="1:5" x14ac:dyDescent="0.25">
      <c r="A16" s="2">
        <v>6</v>
      </c>
      <c r="B16" s="8">
        <v>1959</v>
      </c>
      <c r="C16" s="7"/>
      <c r="D16" s="7"/>
      <c r="E16" s="7"/>
    </row>
    <row r="17" spans="1:5" x14ac:dyDescent="0.25">
      <c r="A17" s="2">
        <v>6</v>
      </c>
      <c r="B17" s="8">
        <v>1960</v>
      </c>
      <c r="C17" s="7"/>
      <c r="D17" s="7"/>
      <c r="E17" s="7"/>
    </row>
    <row r="18" spans="1:5" x14ac:dyDescent="0.25">
      <c r="A18" s="2">
        <v>6</v>
      </c>
      <c r="B18" s="8">
        <v>1961</v>
      </c>
      <c r="C18" s="7"/>
      <c r="D18" s="7"/>
      <c r="E18" s="7"/>
    </row>
    <row r="19" spans="1:5" x14ac:dyDescent="0.25">
      <c r="A19" s="2">
        <v>6</v>
      </c>
      <c r="B19" s="8">
        <v>1962</v>
      </c>
      <c r="C19" s="7"/>
      <c r="D19" s="7"/>
      <c r="E19" s="7"/>
    </row>
    <row r="20" spans="1:5" x14ac:dyDescent="0.25">
      <c r="A20" s="2">
        <v>6</v>
      </c>
      <c r="B20" s="8">
        <v>1963</v>
      </c>
      <c r="C20" s="7"/>
      <c r="D20" s="7"/>
      <c r="E20" s="7"/>
    </row>
    <row r="21" spans="1:5" x14ac:dyDescent="0.25">
      <c r="A21" s="2">
        <v>6</v>
      </c>
      <c r="B21" s="8">
        <v>1964</v>
      </c>
      <c r="C21" s="7"/>
      <c r="D21" s="7"/>
      <c r="E21" s="7"/>
    </row>
    <row r="22" spans="1:5" x14ac:dyDescent="0.25">
      <c r="A22" s="2">
        <v>6</v>
      </c>
      <c r="B22" s="8">
        <v>1965</v>
      </c>
      <c r="C22" s="7"/>
      <c r="D22" s="7"/>
      <c r="E22" s="7"/>
    </row>
    <row r="23" spans="1:5" x14ac:dyDescent="0.25">
      <c r="A23" s="2">
        <v>6</v>
      </c>
      <c r="B23" s="8">
        <v>1966</v>
      </c>
      <c r="C23" s="7"/>
      <c r="D23" s="7"/>
      <c r="E23" s="7"/>
    </row>
    <row r="24" spans="1:5" x14ac:dyDescent="0.25">
      <c r="A24" s="2">
        <v>6</v>
      </c>
      <c r="B24" s="8">
        <v>1967</v>
      </c>
      <c r="C24" s="7"/>
      <c r="D24" s="7"/>
      <c r="E24" s="7"/>
    </row>
    <row r="25" spans="1:5" x14ac:dyDescent="0.25">
      <c r="A25" s="2">
        <v>6</v>
      </c>
      <c r="B25" s="8">
        <v>1968</v>
      </c>
      <c r="C25" s="7"/>
      <c r="D25" s="7"/>
      <c r="E25" s="7"/>
    </row>
    <row r="26" spans="1:5" x14ac:dyDescent="0.25">
      <c r="A26" s="2">
        <v>6</v>
      </c>
      <c r="B26" s="8">
        <v>1969</v>
      </c>
      <c r="C26" s="7"/>
      <c r="D26" s="7"/>
      <c r="E26" s="7"/>
    </row>
    <row r="27" spans="1:5" x14ac:dyDescent="0.25">
      <c r="A27" s="2">
        <v>6</v>
      </c>
      <c r="B27" s="8">
        <v>1970</v>
      </c>
      <c r="C27" s="6"/>
      <c r="D27" s="6"/>
      <c r="E27" s="6"/>
    </row>
    <row r="28" spans="1:5" x14ac:dyDescent="0.25">
      <c r="A28" s="2">
        <v>6</v>
      </c>
      <c r="B28" s="8">
        <v>1971</v>
      </c>
      <c r="C28" s="6"/>
      <c r="D28" s="6"/>
      <c r="E28" s="6"/>
    </row>
    <row r="29" spans="1:5" x14ac:dyDescent="0.25">
      <c r="A29" s="2">
        <v>9</v>
      </c>
      <c r="B29" s="8">
        <v>1972</v>
      </c>
      <c r="C29" s="6"/>
      <c r="D29" s="6"/>
      <c r="E29" s="6"/>
    </row>
    <row r="30" spans="1:5" x14ac:dyDescent="0.25">
      <c r="A30" s="2">
        <v>9</v>
      </c>
      <c r="B30" s="8">
        <v>1973</v>
      </c>
      <c r="C30" s="6"/>
      <c r="D30" s="6"/>
      <c r="E30" s="6"/>
    </row>
    <row r="31" spans="1:5" x14ac:dyDescent="0.25">
      <c r="A31" s="2">
        <v>9</v>
      </c>
      <c r="B31" s="8">
        <v>1974</v>
      </c>
      <c r="C31" s="6"/>
      <c r="D31" s="6"/>
      <c r="E31" s="6"/>
    </row>
    <row r="32" spans="1:5" x14ac:dyDescent="0.25">
      <c r="A32" s="2">
        <v>9</v>
      </c>
      <c r="B32" s="8">
        <v>1975</v>
      </c>
      <c r="C32" s="6"/>
      <c r="D32" s="6"/>
      <c r="E32" s="6"/>
    </row>
    <row r="33" spans="1:5" x14ac:dyDescent="0.25">
      <c r="A33" s="2">
        <v>9</v>
      </c>
      <c r="B33" s="8">
        <v>1976</v>
      </c>
      <c r="C33" s="6"/>
      <c r="D33" s="6"/>
      <c r="E33" s="6"/>
    </row>
    <row r="34" spans="1:5" x14ac:dyDescent="0.25">
      <c r="A34" s="2">
        <v>9</v>
      </c>
      <c r="B34" s="8">
        <v>1977</v>
      </c>
      <c r="C34" s="6"/>
      <c r="D34" s="6"/>
      <c r="E34" s="6"/>
    </row>
    <row r="35" spans="1:5" x14ac:dyDescent="0.25">
      <c r="A35" s="2">
        <v>9</v>
      </c>
      <c r="B35" s="8">
        <v>1978</v>
      </c>
      <c r="C35" s="6"/>
      <c r="D35" s="6"/>
      <c r="E35" s="6"/>
    </row>
    <row r="36" spans="1:5" x14ac:dyDescent="0.25">
      <c r="A36" s="2">
        <v>9</v>
      </c>
      <c r="B36" s="8">
        <v>1979</v>
      </c>
      <c r="C36" s="7"/>
      <c r="D36" s="7"/>
      <c r="E36" s="7"/>
    </row>
    <row r="37" spans="1:5" x14ac:dyDescent="0.25">
      <c r="A37" s="2">
        <v>10</v>
      </c>
      <c r="B37" s="8">
        <v>1980</v>
      </c>
      <c r="C37" s="7"/>
      <c r="D37" s="7"/>
      <c r="E37" s="7"/>
    </row>
    <row r="38" spans="1:5" x14ac:dyDescent="0.25">
      <c r="A38" s="2">
        <v>10</v>
      </c>
      <c r="B38" s="8">
        <v>1981</v>
      </c>
      <c r="C38" s="7"/>
      <c r="D38" s="7"/>
      <c r="E38" s="7"/>
    </row>
    <row r="39" spans="1:5" x14ac:dyDescent="0.25">
      <c r="A39" s="2">
        <v>10</v>
      </c>
      <c r="B39" s="8">
        <v>1982</v>
      </c>
      <c r="C39" s="6"/>
      <c r="D39" s="6"/>
      <c r="E39" s="6"/>
    </row>
    <row r="40" spans="1:5" x14ac:dyDescent="0.25">
      <c r="A40" s="2">
        <v>10</v>
      </c>
      <c r="B40" s="8">
        <v>1983</v>
      </c>
      <c r="C40" s="6"/>
      <c r="D40" s="6"/>
      <c r="E40" s="6"/>
    </row>
    <row r="41" spans="1:5" x14ac:dyDescent="0.25">
      <c r="A41" s="2">
        <v>10</v>
      </c>
      <c r="B41" s="8">
        <v>1984</v>
      </c>
      <c r="C41" s="6"/>
      <c r="D41" s="6"/>
      <c r="E41" s="6"/>
    </row>
    <row r="42" spans="1:5" x14ac:dyDescent="0.25">
      <c r="A42" s="2">
        <v>10</v>
      </c>
      <c r="B42" s="8">
        <v>1985</v>
      </c>
      <c r="C42" s="7"/>
      <c r="D42" s="7"/>
      <c r="E42" s="7"/>
    </row>
    <row r="43" spans="1:5" x14ac:dyDescent="0.25">
      <c r="A43" s="2">
        <v>12</v>
      </c>
      <c r="B43" s="8">
        <v>1986</v>
      </c>
      <c r="C43" s="6"/>
      <c r="D43" s="6"/>
      <c r="E43" s="6"/>
    </row>
    <row r="44" spans="1:5" x14ac:dyDescent="0.25">
      <c r="A44" s="2">
        <v>12</v>
      </c>
      <c r="B44" s="8">
        <v>1987</v>
      </c>
      <c r="C44" s="6"/>
      <c r="D44" s="6"/>
      <c r="E44" s="6"/>
    </row>
    <row r="45" spans="1:5" x14ac:dyDescent="0.25">
      <c r="A45" s="2">
        <v>12</v>
      </c>
      <c r="B45" s="8">
        <v>1988</v>
      </c>
      <c r="C45" s="6"/>
      <c r="D45" s="6"/>
      <c r="E45" s="6"/>
    </row>
    <row r="46" spans="1:5" x14ac:dyDescent="0.25">
      <c r="A46" s="2">
        <v>12</v>
      </c>
      <c r="B46" s="8">
        <v>1989</v>
      </c>
      <c r="C46" s="6"/>
      <c r="D46" s="6"/>
      <c r="E46" s="6"/>
    </row>
    <row r="47" spans="1:5" x14ac:dyDescent="0.25">
      <c r="A47" s="2">
        <v>12</v>
      </c>
      <c r="B47" s="8">
        <v>1990</v>
      </c>
      <c r="C47" s="6"/>
      <c r="D47" s="6"/>
      <c r="E47" s="6"/>
    </row>
    <row r="48" spans="1:5" x14ac:dyDescent="0.25">
      <c r="A48" s="2">
        <v>12</v>
      </c>
      <c r="B48" s="8">
        <v>1991</v>
      </c>
      <c r="C48" s="6"/>
      <c r="D48" s="6"/>
      <c r="E48" s="6"/>
    </row>
    <row r="49" spans="1:5" x14ac:dyDescent="0.25">
      <c r="A49" s="2">
        <v>12</v>
      </c>
      <c r="B49" s="8">
        <v>1992</v>
      </c>
      <c r="C49" s="6"/>
      <c r="D49" s="6"/>
      <c r="E49" s="6"/>
    </row>
    <row r="50" spans="1:5" x14ac:dyDescent="0.25">
      <c r="A50" s="2">
        <v>12</v>
      </c>
      <c r="B50" s="8">
        <v>1993</v>
      </c>
      <c r="C50" s="6"/>
      <c r="D50" s="6"/>
      <c r="E50" s="6"/>
    </row>
    <row r="51" spans="1:5" x14ac:dyDescent="0.25">
      <c r="A51" s="2">
        <v>12</v>
      </c>
      <c r="B51" s="8">
        <v>1994</v>
      </c>
      <c r="C51" s="6"/>
      <c r="D51" s="6"/>
      <c r="E51" s="6"/>
    </row>
    <row r="52" spans="1:5" x14ac:dyDescent="0.25">
      <c r="A52" s="2">
        <v>12</v>
      </c>
      <c r="B52" s="8">
        <v>1995</v>
      </c>
      <c r="C52" s="6"/>
      <c r="D52" s="6"/>
      <c r="E52" s="6"/>
    </row>
    <row r="53" spans="1:5" x14ac:dyDescent="0.25">
      <c r="A53" s="2">
        <v>15</v>
      </c>
      <c r="B53" s="8">
        <v>1995</v>
      </c>
      <c r="C53" s="6"/>
      <c r="D53" s="6"/>
      <c r="E53" s="6"/>
    </row>
    <row r="54" spans="1:5" x14ac:dyDescent="0.25">
      <c r="A54" s="2">
        <v>15</v>
      </c>
      <c r="B54" s="8">
        <v>1996</v>
      </c>
      <c r="C54" s="6"/>
      <c r="D54" s="6"/>
      <c r="E54" s="6"/>
    </row>
    <row r="55" spans="1:5" x14ac:dyDescent="0.25">
      <c r="A55" s="2">
        <v>15</v>
      </c>
      <c r="B55" s="8">
        <v>1997</v>
      </c>
      <c r="C55" s="6"/>
      <c r="D55" s="6"/>
      <c r="E55" s="6"/>
    </row>
    <row r="56" spans="1:5" x14ac:dyDescent="0.25">
      <c r="A56" s="2">
        <v>15</v>
      </c>
      <c r="B56" s="8">
        <v>1998</v>
      </c>
      <c r="C56" s="6"/>
      <c r="D56" s="6"/>
      <c r="E56" s="6"/>
    </row>
    <row r="57" spans="1:5" x14ac:dyDescent="0.25">
      <c r="A57" s="2">
        <v>15</v>
      </c>
      <c r="B57" s="8">
        <v>1999</v>
      </c>
      <c r="C57" s="6"/>
      <c r="D57" s="6"/>
      <c r="E57" s="6"/>
    </row>
    <row r="58" spans="1:5" x14ac:dyDescent="0.25">
      <c r="A58" s="2">
        <v>15</v>
      </c>
      <c r="B58" s="8">
        <v>2000</v>
      </c>
    </row>
    <row r="59" spans="1:5" x14ac:dyDescent="0.25">
      <c r="A59" s="2">
        <v>15</v>
      </c>
      <c r="B59" s="8">
        <v>2001</v>
      </c>
      <c r="C59" s="6"/>
      <c r="D59" s="6"/>
      <c r="E59" s="6"/>
    </row>
    <row r="60" spans="1:5" x14ac:dyDescent="0.25">
      <c r="A60" s="2">
        <v>15</v>
      </c>
      <c r="B60" s="8">
        <v>2002</v>
      </c>
      <c r="C60" s="6"/>
      <c r="D60" s="6"/>
      <c r="E60" s="6"/>
    </row>
    <row r="61" spans="1:5" x14ac:dyDescent="0.25">
      <c r="A61" s="2">
        <v>15</v>
      </c>
      <c r="B61" s="8">
        <v>2003</v>
      </c>
      <c r="C61" s="6"/>
      <c r="D61" s="6"/>
      <c r="E61" s="6"/>
    </row>
    <row r="62" spans="1:5" x14ac:dyDescent="0.25">
      <c r="A62" s="2">
        <v>27</v>
      </c>
      <c r="B62" s="8">
        <v>2003</v>
      </c>
      <c r="C62" s="6"/>
      <c r="D62" s="6"/>
      <c r="E62" s="6"/>
    </row>
    <row r="63" spans="1:5" x14ac:dyDescent="0.25">
      <c r="A63" s="2">
        <v>27</v>
      </c>
      <c r="B63" s="8">
        <v>2004</v>
      </c>
      <c r="C63" s="6"/>
      <c r="D63" s="6"/>
      <c r="E63" s="6"/>
    </row>
    <row r="64" spans="1:5" x14ac:dyDescent="0.25">
      <c r="A64" s="2">
        <v>27</v>
      </c>
      <c r="B64" s="8">
        <v>2005</v>
      </c>
      <c r="C64" s="6">
        <v>10</v>
      </c>
      <c r="D64" s="6">
        <f>2*4</f>
        <v>8</v>
      </c>
      <c r="E64" s="6">
        <f>2*6</f>
        <v>12</v>
      </c>
    </row>
    <row r="65" spans="1:50" x14ac:dyDescent="0.25">
      <c r="A65" s="2">
        <v>27</v>
      </c>
      <c r="B65" s="8">
        <v>2006</v>
      </c>
      <c r="C65" s="6"/>
      <c r="D65" s="6"/>
      <c r="E65" s="6"/>
    </row>
    <row r="66" spans="1:50" x14ac:dyDescent="0.25">
      <c r="A66" s="2">
        <v>27</v>
      </c>
      <c r="B66" s="8">
        <v>2007</v>
      </c>
      <c r="C66" s="6"/>
      <c r="D66" s="6"/>
      <c r="E66" s="6"/>
    </row>
    <row r="67" spans="1:50" x14ac:dyDescent="0.25">
      <c r="A67" s="2">
        <v>27</v>
      </c>
      <c r="B67" s="8">
        <v>2008</v>
      </c>
      <c r="C67" s="6"/>
      <c r="D67" s="6"/>
      <c r="E67" s="6"/>
    </row>
    <row r="68" spans="1:50" x14ac:dyDescent="0.25">
      <c r="A68" s="2">
        <v>27</v>
      </c>
      <c r="B68" s="8">
        <v>2009</v>
      </c>
      <c r="C68" s="6"/>
      <c r="D68" s="6"/>
      <c r="E68" s="6"/>
    </row>
    <row r="69" spans="1:50" x14ac:dyDescent="0.25">
      <c r="A69" s="2">
        <v>27</v>
      </c>
      <c r="B69" s="8">
        <v>2010</v>
      </c>
      <c r="C69" s="6"/>
      <c r="D69" s="6"/>
      <c r="E69" s="6"/>
    </row>
    <row r="70" spans="1:50" x14ac:dyDescent="0.25">
      <c r="A70" s="2">
        <v>27</v>
      </c>
      <c r="B70" s="8">
        <v>2011</v>
      </c>
      <c r="C70" s="6"/>
      <c r="D70" s="6"/>
      <c r="E70" s="6"/>
    </row>
    <row r="71" spans="1:50" x14ac:dyDescent="0.25">
      <c r="A71" s="2">
        <v>28</v>
      </c>
      <c r="B71" s="8">
        <v>2012</v>
      </c>
      <c r="C71" s="6"/>
      <c r="D71" s="6"/>
      <c r="E71" s="6"/>
    </row>
    <row r="72" spans="1:50" x14ac:dyDescent="0.25">
      <c r="A72" s="2">
        <v>28</v>
      </c>
      <c r="B72" s="8">
        <v>2013</v>
      </c>
      <c r="C72" s="6"/>
      <c r="D72" s="6"/>
      <c r="E72" s="6"/>
    </row>
    <row r="73" spans="1:50" x14ac:dyDescent="0.25">
      <c r="A73" s="2">
        <v>28</v>
      </c>
      <c r="B73" s="8">
        <v>2014</v>
      </c>
      <c r="C73" s="6"/>
      <c r="D73" s="6"/>
      <c r="E73" s="6"/>
    </row>
    <row r="74" spans="1:50" x14ac:dyDescent="0.25">
      <c r="A74" s="2">
        <v>28</v>
      </c>
      <c r="B74" s="8">
        <v>2015</v>
      </c>
      <c r="C74" s="6"/>
      <c r="D74" s="6"/>
      <c r="E74" s="6"/>
    </row>
    <row r="75" spans="1:50" x14ac:dyDescent="0.25">
      <c r="A75" s="2">
        <v>28</v>
      </c>
      <c r="B75" s="8">
        <v>2016</v>
      </c>
      <c r="C75" s="6"/>
      <c r="D75" s="6"/>
      <c r="E75" s="6"/>
    </row>
    <row r="76" spans="1:50" x14ac:dyDescent="0.25">
      <c r="A76" s="2">
        <v>272020</v>
      </c>
      <c r="B76" s="8">
        <v>2017</v>
      </c>
      <c r="C76" s="6"/>
      <c r="D76" s="6"/>
      <c r="E76" s="6"/>
    </row>
    <row r="77" spans="1:50" x14ac:dyDescent="0.25">
      <c r="A77" s="2">
        <v>272020</v>
      </c>
      <c r="B77" s="8">
        <v>2018</v>
      </c>
      <c r="C77" s="6"/>
      <c r="D77" s="6"/>
      <c r="E77" s="6"/>
    </row>
    <row r="78" spans="1:50" x14ac:dyDescent="0.25">
      <c r="A78" s="2">
        <v>272020</v>
      </c>
      <c r="B78" s="8">
        <v>2019</v>
      </c>
      <c r="C78" s="6">
        <f>2*5.5</f>
        <v>11</v>
      </c>
      <c r="D78" s="6">
        <f>2*5</f>
        <v>10</v>
      </c>
      <c r="E78" s="6">
        <f>2*6</f>
        <v>12</v>
      </c>
    </row>
    <row r="79" spans="1:50" s="4" customFormat="1" x14ac:dyDescent="0.25">
      <c r="A79" s="2">
        <v>272020</v>
      </c>
      <c r="B79" s="8">
        <v>2020</v>
      </c>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s="4" customFormat="1" x14ac:dyDescent="0.25">
      <c r="A80" s="2">
        <v>272020</v>
      </c>
      <c r="B80" s="8">
        <v>2021</v>
      </c>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s="4" customFormat="1" x14ac:dyDescent="0.25">
      <c r="A81" s="2">
        <v>272020</v>
      </c>
      <c r="B81" s="8">
        <v>2022</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x14ac:dyDescent="0.25">
      <c r="A82" s="2">
        <v>272020</v>
      </c>
      <c r="B82" s="8">
        <v>2023</v>
      </c>
    </row>
    <row r="84" spans="1:50" x14ac:dyDescent="0.25">
      <c r="A84" s="81"/>
    </row>
    <row r="85" spans="1:50" x14ac:dyDescent="0.25">
      <c r="A85" s="81"/>
    </row>
    <row r="86" spans="1:50" x14ac:dyDescent="0.25">
      <c r="A86" s="81"/>
    </row>
    <row r="88" spans="1:50" s="4" customFormat="1" x14ac:dyDescent="0.25">
      <c r="A88" s="2"/>
      <c r="B88" s="2"/>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s="4" customFormat="1" x14ac:dyDescent="0.25">
      <c r="A89" s="2"/>
      <c r="B89" s="2"/>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3" spans="1:50" x14ac:dyDescent="0.25">
      <c r="A93" s="81"/>
    </row>
    <row r="94" spans="1:50" x14ac:dyDescent="0.25">
      <c r="A94" s="81"/>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C88"/>
  <sheetViews>
    <sheetView topLeftCell="A24" zoomScale="70" zoomScaleNormal="70" workbookViewId="0">
      <selection activeCell="A75" sqref="A75"/>
    </sheetView>
  </sheetViews>
  <sheetFormatPr baseColWidth="10" defaultColWidth="10.7109375" defaultRowHeight="15" x14ac:dyDescent="0.25"/>
  <cols>
    <col min="1" max="1" width="7.42578125" style="2" customWidth="1"/>
    <col min="2" max="2" width="21.28515625" style="1" customWidth="1"/>
    <col min="3" max="16384" width="10.7109375" style="1"/>
  </cols>
  <sheetData>
    <row r="1" spans="1:2" s="3" customFormat="1" x14ac:dyDescent="0.25">
      <c r="A1" s="9" t="s">
        <v>0</v>
      </c>
      <c r="B1" s="5" t="s">
        <v>6</v>
      </c>
    </row>
    <row r="2" spans="1:2" x14ac:dyDescent="0.25">
      <c r="A2" s="8">
        <v>1945</v>
      </c>
    </row>
    <row r="3" spans="1:2" x14ac:dyDescent="0.25">
      <c r="A3" s="8">
        <v>1946</v>
      </c>
    </row>
    <row r="4" spans="1:2" x14ac:dyDescent="0.25">
      <c r="A4" s="8">
        <v>1947</v>
      </c>
    </row>
    <row r="5" spans="1:2" x14ac:dyDescent="0.25">
      <c r="A5" s="8">
        <v>1948</v>
      </c>
    </row>
    <row r="6" spans="1:2" x14ac:dyDescent="0.25">
      <c r="A6" s="8">
        <v>1949</v>
      </c>
    </row>
    <row r="7" spans="1:2" x14ac:dyDescent="0.25">
      <c r="A7" s="8">
        <v>1950</v>
      </c>
    </row>
    <row r="8" spans="1:2" x14ac:dyDescent="0.25">
      <c r="A8" s="8">
        <v>1951</v>
      </c>
    </row>
    <row r="9" spans="1:2" x14ac:dyDescent="0.25">
      <c r="A9" s="8">
        <v>1952</v>
      </c>
    </row>
    <row r="10" spans="1:2" x14ac:dyDescent="0.25">
      <c r="A10" s="8">
        <v>1953</v>
      </c>
    </row>
    <row r="11" spans="1:2" x14ac:dyDescent="0.25">
      <c r="A11" s="8">
        <v>1954</v>
      </c>
    </row>
    <row r="12" spans="1:2" x14ac:dyDescent="0.25">
      <c r="A12" s="8">
        <v>1955</v>
      </c>
    </row>
    <row r="13" spans="1:2" x14ac:dyDescent="0.25">
      <c r="A13" s="8">
        <v>1956</v>
      </c>
    </row>
    <row r="14" spans="1:2" x14ac:dyDescent="0.25">
      <c r="A14" s="8">
        <v>1957</v>
      </c>
    </row>
    <row r="15" spans="1:2" x14ac:dyDescent="0.25">
      <c r="A15" s="8">
        <v>1958</v>
      </c>
    </row>
    <row r="16" spans="1:2" x14ac:dyDescent="0.25">
      <c r="A16" s="8">
        <v>1959</v>
      </c>
    </row>
    <row r="17" spans="1:2" x14ac:dyDescent="0.25">
      <c r="A17" s="8">
        <v>1960</v>
      </c>
    </row>
    <row r="18" spans="1:2" x14ac:dyDescent="0.25">
      <c r="A18" s="8">
        <v>1961</v>
      </c>
    </row>
    <row r="19" spans="1:2" x14ac:dyDescent="0.25">
      <c r="A19" s="8">
        <v>1962</v>
      </c>
    </row>
    <row r="20" spans="1:2" x14ac:dyDescent="0.25">
      <c r="A20" s="8">
        <v>1963</v>
      </c>
    </row>
    <row r="21" spans="1:2" x14ac:dyDescent="0.25">
      <c r="A21" s="8">
        <v>1964</v>
      </c>
    </row>
    <row r="22" spans="1:2" x14ac:dyDescent="0.25">
      <c r="A22" s="8">
        <v>1965</v>
      </c>
    </row>
    <row r="23" spans="1:2" x14ac:dyDescent="0.25">
      <c r="A23" s="8">
        <v>1966</v>
      </c>
    </row>
    <row r="24" spans="1:2" x14ac:dyDescent="0.25">
      <c r="A24" s="8">
        <v>1967</v>
      </c>
    </row>
    <row r="25" spans="1:2" x14ac:dyDescent="0.25">
      <c r="A25" s="8">
        <v>1968</v>
      </c>
    </row>
    <row r="26" spans="1:2" x14ac:dyDescent="0.25">
      <c r="A26" s="8">
        <v>1969</v>
      </c>
    </row>
    <row r="27" spans="1:2" x14ac:dyDescent="0.25">
      <c r="A27" s="8">
        <v>1970</v>
      </c>
      <c r="B27" s="42">
        <v>1605.7353135313531</v>
      </c>
    </row>
    <row r="28" spans="1:2" x14ac:dyDescent="0.25">
      <c r="A28" s="8">
        <v>1971</v>
      </c>
      <c r="B28" s="42"/>
    </row>
    <row r="29" spans="1:2" x14ac:dyDescent="0.25">
      <c r="A29" s="8">
        <v>1972</v>
      </c>
      <c r="B29" s="42"/>
    </row>
    <row r="30" spans="1:2" x14ac:dyDescent="0.25">
      <c r="A30" s="8">
        <v>1973</v>
      </c>
      <c r="B30" s="42"/>
    </row>
    <row r="31" spans="1:2" x14ac:dyDescent="0.25">
      <c r="A31" s="8">
        <v>1974</v>
      </c>
      <c r="B31" s="42"/>
    </row>
    <row r="32" spans="1:2" x14ac:dyDescent="0.25">
      <c r="A32" s="8">
        <v>1975</v>
      </c>
      <c r="B32" s="42">
        <v>1364.8805280528052</v>
      </c>
    </row>
    <row r="33" spans="1:2" x14ac:dyDescent="0.25">
      <c r="A33" s="8">
        <v>1976</v>
      </c>
      <c r="B33" s="42"/>
    </row>
    <row r="34" spans="1:2" x14ac:dyDescent="0.25">
      <c r="A34" s="8">
        <v>1977</v>
      </c>
      <c r="B34" s="42"/>
    </row>
    <row r="35" spans="1:2" x14ac:dyDescent="0.25">
      <c r="A35" s="8">
        <v>1978</v>
      </c>
      <c r="B35" s="42"/>
    </row>
    <row r="36" spans="1:2" x14ac:dyDescent="0.25">
      <c r="A36" s="8">
        <v>1979</v>
      </c>
      <c r="B36" s="42"/>
    </row>
    <row r="37" spans="1:2" x14ac:dyDescent="0.25">
      <c r="A37" s="8">
        <v>1980</v>
      </c>
      <c r="B37" s="42">
        <v>1204.3841584158415</v>
      </c>
    </row>
    <row r="38" spans="1:2" x14ac:dyDescent="0.25">
      <c r="A38" s="8">
        <v>1981</v>
      </c>
      <c r="B38" s="42"/>
    </row>
    <row r="39" spans="1:2" x14ac:dyDescent="0.25">
      <c r="A39" s="8">
        <v>1982</v>
      </c>
      <c r="B39" s="42"/>
    </row>
    <row r="40" spans="1:2" x14ac:dyDescent="0.25">
      <c r="A40" s="8">
        <v>1983</v>
      </c>
      <c r="B40" s="42"/>
    </row>
    <row r="41" spans="1:2" x14ac:dyDescent="0.25">
      <c r="A41" s="8">
        <v>1984</v>
      </c>
      <c r="B41" s="42"/>
    </row>
    <row r="42" spans="1:2" x14ac:dyDescent="0.25">
      <c r="A42" s="8">
        <v>1985</v>
      </c>
      <c r="B42" s="42">
        <v>1083.9016501650165</v>
      </c>
    </row>
    <row r="43" spans="1:2" x14ac:dyDescent="0.25">
      <c r="A43" s="8">
        <v>1986</v>
      </c>
      <c r="B43" s="42"/>
    </row>
    <row r="44" spans="1:2" x14ac:dyDescent="0.25">
      <c r="A44" s="8">
        <v>1987</v>
      </c>
      <c r="B44" s="42"/>
    </row>
    <row r="45" spans="1:2" x14ac:dyDescent="0.25">
      <c r="A45" s="8">
        <v>1988</v>
      </c>
      <c r="B45" s="42"/>
    </row>
    <row r="46" spans="1:2" x14ac:dyDescent="0.25">
      <c r="A46" s="8">
        <v>1989</v>
      </c>
      <c r="B46" s="42"/>
    </row>
    <row r="47" spans="1:2" x14ac:dyDescent="0.25">
      <c r="A47" s="8">
        <v>1990</v>
      </c>
      <c r="B47" s="42">
        <v>1043.7775577557754</v>
      </c>
    </row>
    <row r="48" spans="1:2" x14ac:dyDescent="0.25">
      <c r="A48" s="8">
        <v>1991</v>
      </c>
      <c r="B48" s="42">
        <v>1012.4719471947195</v>
      </c>
    </row>
    <row r="49" spans="1:15" x14ac:dyDescent="0.25">
      <c r="A49" s="8">
        <v>1992</v>
      </c>
      <c r="B49" s="42">
        <v>986.34719471947199</v>
      </c>
    </row>
    <row r="50" spans="1:15" x14ac:dyDescent="0.25">
      <c r="A50" s="8">
        <v>1993</v>
      </c>
      <c r="B50" s="42">
        <v>960.22244224422445</v>
      </c>
    </row>
    <row r="51" spans="1:15" x14ac:dyDescent="0.25">
      <c r="A51" s="8">
        <v>1994</v>
      </c>
      <c r="B51" s="42">
        <v>929.02706270627061</v>
      </c>
    </row>
    <row r="52" spans="1:15" x14ac:dyDescent="0.25">
      <c r="A52" s="8">
        <v>1995</v>
      </c>
      <c r="B52" s="42">
        <v>902.79207920792078</v>
      </c>
    </row>
    <row r="53" spans="1:15" x14ac:dyDescent="0.25">
      <c r="A53" s="8">
        <v>1996</v>
      </c>
      <c r="B53" s="42">
        <v>876.77755775577555</v>
      </c>
    </row>
    <row r="54" spans="1:15" x14ac:dyDescent="0.25">
      <c r="A54" s="8">
        <v>1997</v>
      </c>
      <c r="B54" s="42">
        <v>850.65280528052813</v>
      </c>
    </row>
    <row r="55" spans="1:15" x14ac:dyDescent="0.25">
      <c r="A55" s="8">
        <v>1998</v>
      </c>
      <c r="B55" s="42">
        <v>824.52805280528048</v>
      </c>
    </row>
    <row r="56" spans="1:15" x14ac:dyDescent="0.25">
      <c r="A56" s="8">
        <v>1999</v>
      </c>
      <c r="B56" s="42">
        <v>793.22244224422445</v>
      </c>
    </row>
    <row r="57" spans="1:15" x14ac:dyDescent="0.25">
      <c r="A57" s="8">
        <v>2000</v>
      </c>
      <c r="B57" s="42">
        <v>767.20792079207922</v>
      </c>
      <c r="L57" s="86"/>
      <c r="M57" s="87"/>
      <c r="N57" s="86"/>
      <c r="O57" s="87"/>
    </row>
    <row r="58" spans="1:15" x14ac:dyDescent="0.25">
      <c r="A58" s="8">
        <v>2001</v>
      </c>
      <c r="B58" s="42">
        <v>741.08316831683157</v>
      </c>
      <c r="L58" s="86"/>
      <c r="M58" s="87"/>
      <c r="N58" s="86"/>
      <c r="O58" s="87"/>
    </row>
    <row r="59" spans="1:15" x14ac:dyDescent="0.25">
      <c r="A59" s="8">
        <v>2002</v>
      </c>
      <c r="B59" s="42">
        <v>720.13927392739265</v>
      </c>
      <c r="L59" s="86"/>
      <c r="M59" s="87"/>
      <c r="N59" s="86"/>
      <c r="O59" s="87"/>
    </row>
    <row r="60" spans="1:15" x14ac:dyDescent="0.25">
      <c r="A60" s="8">
        <v>2003</v>
      </c>
      <c r="B60" s="42">
        <v>699.30561056105614</v>
      </c>
      <c r="L60" s="86"/>
      <c r="M60" s="87"/>
      <c r="N60" s="86"/>
      <c r="O60" s="87"/>
    </row>
    <row r="61" spans="1:15" x14ac:dyDescent="0.25">
      <c r="A61" s="8">
        <v>2004</v>
      </c>
      <c r="B61" s="42">
        <v>688.94389438943892</v>
      </c>
    </row>
    <row r="62" spans="1:15" x14ac:dyDescent="0.25">
      <c r="A62" s="8">
        <v>2005</v>
      </c>
      <c r="B62" s="42">
        <v>683.65280528052813</v>
      </c>
    </row>
    <row r="63" spans="1:15" x14ac:dyDescent="0.25">
      <c r="A63" s="8">
        <v>2006</v>
      </c>
      <c r="B63" s="42">
        <v>678.47194719471952</v>
      </c>
    </row>
    <row r="64" spans="1:15" x14ac:dyDescent="0.25">
      <c r="A64" s="8">
        <v>2007</v>
      </c>
      <c r="B64" s="42">
        <v>673.18085808580861</v>
      </c>
    </row>
    <row r="65" spans="1:55" x14ac:dyDescent="0.25">
      <c r="A65" s="8">
        <v>2008</v>
      </c>
      <c r="B65" s="42">
        <v>668</v>
      </c>
    </row>
    <row r="66" spans="1:55" x14ac:dyDescent="0.25">
      <c r="A66" s="8">
        <v>2009</v>
      </c>
      <c r="B66" s="42">
        <v>657.52805280528048</v>
      </c>
    </row>
    <row r="67" spans="1:55" x14ac:dyDescent="0.25">
      <c r="A67" s="8">
        <v>2010</v>
      </c>
      <c r="B67" s="42">
        <v>647.05610561056108</v>
      </c>
    </row>
    <row r="68" spans="1:55" x14ac:dyDescent="0.25">
      <c r="A68" s="8">
        <v>2011</v>
      </c>
      <c r="B68" s="42">
        <v>626.22244224422445</v>
      </c>
    </row>
    <row r="69" spans="1:55" x14ac:dyDescent="0.25">
      <c r="A69" s="8">
        <v>2012</v>
      </c>
      <c r="B69" s="42">
        <v>626.22244224422445</v>
      </c>
    </row>
    <row r="70" spans="1:55" x14ac:dyDescent="0.25">
      <c r="A70" s="8">
        <v>2013</v>
      </c>
      <c r="B70" s="42">
        <v>636.69438943894386</v>
      </c>
    </row>
    <row r="71" spans="1:55" x14ac:dyDescent="0.25">
      <c r="A71" s="8">
        <v>2014</v>
      </c>
      <c r="B71" s="42">
        <v>626.22244224422445</v>
      </c>
    </row>
    <row r="72" spans="1:55" x14ac:dyDescent="0.25">
      <c r="A72" s="8">
        <v>2015</v>
      </c>
      <c r="B72" s="42">
        <v>615.86072607260735</v>
      </c>
    </row>
    <row r="73" spans="1:55" x14ac:dyDescent="0.25">
      <c r="A73" s="8">
        <v>2016</v>
      </c>
      <c r="B73" s="42">
        <v>605.38877887788783</v>
      </c>
    </row>
    <row r="74" spans="1:55" x14ac:dyDescent="0.25">
      <c r="A74" s="8">
        <v>2017</v>
      </c>
      <c r="B74" s="42">
        <v>594.91683168316843</v>
      </c>
    </row>
    <row r="75" spans="1:55" x14ac:dyDescent="0.25">
      <c r="A75" s="8">
        <v>2018</v>
      </c>
      <c r="B75" s="42">
        <v>594.91683168316843</v>
      </c>
    </row>
    <row r="76" spans="1:55" x14ac:dyDescent="0.25">
      <c r="A76" s="8">
        <v>2019</v>
      </c>
      <c r="B76" s="42">
        <v>594.91683168316843</v>
      </c>
    </row>
    <row r="77" spans="1:55" x14ac:dyDescent="0.25">
      <c r="A77" s="8">
        <v>2020</v>
      </c>
    </row>
    <row r="78" spans="1:55" s="4" customFormat="1" x14ac:dyDescent="0.25">
      <c r="A78" s="8">
        <v>2021</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row>
    <row r="79" spans="1:55" s="4" customFormat="1" x14ac:dyDescent="0.25">
      <c r="A79" s="8">
        <v>2022</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row>
    <row r="80" spans="1:55" s="4" customFormat="1" x14ac:dyDescent="0.25">
      <c r="A80" s="8">
        <v>2023</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row>
    <row r="87" spans="1:55" s="4" customFormat="1" x14ac:dyDescent="0.25">
      <c r="A87" s="2"/>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row>
    <row r="88" spans="1:55" s="4" customFormat="1" x14ac:dyDescent="0.25">
      <c r="A88" s="2"/>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88"/>
  <sheetViews>
    <sheetView topLeftCell="A45" zoomScale="85" zoomScaleNormal="85" workbookViewId="0">
      <selection activeCell="O71" sqref="O71"/>
    </sheetView>
  </sheetViews>
  <sheetFormatPr baseColWidth="10" defaultColWidth="10.7109375" defaultRowHeight="15" x14ac:dyDescent="0.25"/>
  <cols>
    <col min="1" max="1" width="8" style="16" bestFit="1" customWidth="1"/>
    <col min="2" max="4" width="15.140625" style="13" customWidth="1"/>
    <col min="5" max="16384" width="10.7109375" style="13"/>
  </cols>
  <sheetData>
    <row r="1" spans="1:5" s="18" customFormat="1" ht="30" x14ac:dyDescent="0.25">
      <c r="A1" s="34" t="s">
        <v>0</v>
      </c>
      <c r="B1" s="35" t="s">
        <v>57</v>
      </c>
      <c r="C1" s="35" t="s">
        <v>11</v>
      </c>
      <c r="D1" s="35" t="s">
        <v>12</v>
      </c>
      <c r="E1" s="35" t="s">
        <v>66</v>
      </c>
    </row>
    <row r="2" spans="1:5" x14ac:dyDescent="0.25">
      <c r="A2" s="36">
        <v>1945</v>
      </c>
      <c r="B2" s="14"/>
      <c r="C2" s="14"/>
    </row>
    <row r="3" spans="1:5" x14ac:dyDescent="0.25">
      <c r="A3" s="36">
        <v>1946</v>
      </c>
      <c r="B3" s="14"/>
    </row>
    <row r="4" spans="1:5" x14ac:dyDescent="0.25">
      <c r="A4" s="36">
        <v>1947</v>
      </c>
    </row>
    <row r="5" spans="1:5" x14ac:dyDescent="0.25">
      <c r="A5" s="36">
        <v>1948</v>
      </c>
    </row>
    <row r="6" spans="1:5" x14ac:dyDescent="0.25">
      <c r="A6" s="36">
        <v>1949</v>
      </c>
    </row>
    <row r="7" spans="1:5" x14ac:dyDescent="0.25">
      <c r="A7" s="36">
        <v>1950</v>
      </c>
    </row>
    <row r="8" spans="1:5" x14ac:dyDescent="0.25">
      <c r="A8" s="36">
        <v>1951</v>
      </c>
    </row>
    <row r="9" spans="1:5" x14ac:dyDescent="0.25">
      <c r="A9" s="36">
        <v>1952</v>
      </c>
    </row>
    <row r="10" spans="1:5" x14ac:dyDescent="0.25">
      <c r="A10" s="36">
        <v>1953</v>
      </c>
    </row>
    <row r="11" spans="1:5" x14ac:dyDescent="0.25">
      <c r="A11" s="36">
        <v>1954</v>
      </c>
    </row>
    <row r="12" spans="1:5" x14ac:dyDescent="0.25">
      <c r="A12" s="36">
        <v>1955</v>
      </c>
    </row>
    <row r="13" spans="1:5" x14ac:dyDescent="0.25">
      <c r="A13" s="36">
        <v>1956</v>
      </c>
    </row>
    <row r="14" spans="1:5" x14ac:dyDescent="0.25">
      <c r="A14" s="36">
        <v>1957</v>
      </c>
    </row>
    <row r="15" spans="1:5" x14ac:dyDescent="0.25">
      <c r="A15" s="36">
        <v>1958</v>
      </c>
    </row>
    <row r="16" spans="1:5" x14ac:dyDescent="0.25">
      <c r="A16" s="36">
        <v>1959</v>
      </c>
    </row>
    <row r="17" spans="1:7" x14ac:dyDescent="0.25">
      <c r="A17" s="36">
        <v>1960</v>
      </c>
      <c r="G17" s="15"/>
    </row>
    <row r="18" spans="1:7" x14ac:dyDescent="0.25">
      <c r="A18" s="36">
        <v>1961</v>
      </c>
      <c r="G18" s="15"/>
    </row>
    <row r="19" spans="1:7" x14ac:dyDescent="0.25">
      <c r="A19" s="36">
        <v>1962</v>
      </c>
      <c r="G19" s="15"/>
    </row>
    <row r="20" spans="1:7" x14ac:dyDescent="0.25">
      <c r="A20" s="36">
        <v>1963</v>
      </c>
      <c r="G20" s="15"/>
    </row>
    <row r="21" spans="1:7" x14ac:dyDescent="0.25">
      <c r="A21" s="36">
        <v>1964</v>
      </c>
      <c r="G21" s="15"/>
    </row>
    <row r="22" spans="1:7" x14ac:dyDescent="0.25">
      <c r="A22" s="36">
        <v>1965</v>
      </c>
      <c r="G22" s="15"/>
    </row>
    <row r="23" spans="1:7" x14ac:dyDescent="0.25">
      <c r="A23" s="36">
        <v>1966</v>
      </c>
      <c r="G23" s="15"/>
    </row>
    <row r="24" spans="1:7" x14ac:dyDescent="0.25">
      <c r="A24" s="36">
        <v>1967</v>
      </c>
      <c r="B24" s="14"/>
      <c r="C24" s="14"/>
      <c r="D24" s="14"/>
      <c r="G24" s="15"/>
    </row>
    <row r="25" spans="1:7" x14ac:dyDescent="0.25">
      <c r="A25" s="36">
        <v>1968</v>
      </c>
      <c r="B25" s="14"/>
      <c r="C25" s="14"/>
      <c r="D25" s="14"/>
      <c r="G25" s="15"/>
    </row>
    <row r="26" spans="1:7" x14ac:dyDescent="0.25">
      <c r="A26" s="36">
        <v>1969</v>
      </c>
      <c r="B26" s="14"/>
      <c r="C26" s="14"/>
      <c r="D26" s="14"/>
      <c r="G26" s="15"/>
    </row>
    <row r="27" spans="1:7" x14ac:dyDescent="0.25">
      <c r="A27" s="36">
        <v>1970</v>
      </c>
      <c r="B27" s="21">
        <f>0.65*E27</f>
        <v>11.375</v>
      </c>
      <c r="C27" s="21">
        <f>0.14*E27</f>
        <v>2.4500000000000002</v>
      </c>
      <c r="D27" s="21">
        <f>0.2*E27</f>
        <v>3.5</v>
      </c>
      <c r="E27" s="21">
        <v>17.5</v>
      </c>
      <c r="G27" s="15"/>
    </row>
    <row r="28" spans="1:7" x14ac:dyDescent="0.25">
      <c r="A28" s="36">
        <v>1971</v>
      </c>
      <c r="B28" s="14"/>
      <c r="C28" s="14"/>
      <c r="D28" s="14"/>
      <c r="E28" s="21"/>
      <c r="G28" s="15"/>
    </row>
    <row r="29" spans="1:7" x14ac:dyDescent="0.25">
      <c r="A29" s="36">
        <v>1972</v>
      </c>
      <c r="B29" s="14"/>
      <c r="C29" s="14"/>
      <c r="D29" s="14"/>
      <c r="E29" s="21"/>
      <c r="G29" s="15"/>
    </row>
    <row r="30" spans="1:7" x14ac:dyDescent="0.25">
      <c r="A30" s="36">
        <v>1973</v>
      </c>
      <c r="B30" s="21">
        <f>0.65*E30</f>
        <v>11.375</v>
      </c>
      <c r="C30" s="21">
        <f>0.14*E30</f>
        <v>2.4500000000000002</v>
      </c>
      <c r="D30" s="21">
        <f>0.2*E30</f>
        <v>3.5</v>
      </c>
      <c r="E30" s="21">
        <v>17.5</v>
      </c>
      <c r="G30" s="15"/>
    </row>
    <row r="31" spans="1:7" x14ac:dyDescent="0.25">
      <c r="A31" s="36">
        <v>1974</v>
      </c>
      <c r="B31" s="21">
        <f>0.67*E31</f>
        <v>11.457000000000003</v>
      </c>
      <c r="C31" s="21">
        <f>0.14*E31</f>
        <v>2.3940000000000006</v>
      </c>
      <c r="D31" s="21">
        <f>0.21*E31</f>
        <v>3.5910000000000002</v>
      </c>
      <c r="E31" s="21">
        <v>17.100000000000001</v>
      </c>
      <c r="G31" s="15"/>
    </row>
    <row r="32" spans="1:7" x14ac:dyDescent="0.25">
      <c r="A32" s="36">
        <v>1975</v>
      </c>
      <c r="B32" s="21">
        <f>0.56*E32</f>
        <v>9.3520000000000003</v>
      </c>
      <c r="C32" s="21">
        <f>0.15*E32</f>
        <v>2.5049999999999999</v>
      </c>
      <c r="D32" s="21">
        <f>0.2*E32</f>
        <v>3.34</v>
      </c>
      <c r="E32" s="21">
        <v>16.7</v>
      </c>
      <c r="G32" s="15"/>
    </row>
    <row r="33" spans="1:7" x14ac:dyDescent="0.25">
      <c r="A33" s="36">
        <v>1976</v>
      </c>
      <c r="B33" s="21">
        <f>0.62*E33</f>
        <v>9.2379999999999995</v>
      </c>
      <c r="C33" s="21">
        <f>0.15*E33</f>
        <v>2.2349999999999999</v>
      </c>
      <c r="D33" s="21">
        <f>0.22*E33</f>
        <v>3.278</v>
      </c>
      <c r="E33" s="21">
        <v>14.9</v>
      </c>
      <c r="G33" s="15"/>
    </row>
    <row r="34" spans="1:7" x14ac:dyDescent="0.25">
      <c r="A34" s="36">
        <v>1977</v>
      </c>
      <c r="B34" s="21">
        <f>0.62*E34</f>
        <v>8.6180000000000003</v>
      </c>
      <c r="C34" s="21">
        <f>0.14*E34</f>
        <v>1.9460000000000002</v>
      </c>
      <c r="D34" s="21">
        <f>0.24*E34</f>
        <v>3.3359999999999999</v>
      </c>
      <c r="E34" s="21">
        <v>13.9</v>
      </c>
      <c r="G34" s="15"/>
    </row>
    <row r="35" spans="1:7" x14ac:dyDescent="0.25">
      <c r="A35" s="36">
        <v>1978</v>
      </c>
      <c r="B35" s="21">
        <f>0.59*E35</f>
        <v>7.8470000000000004</v>
      </c>
      <c r="C35" s="21">
        <f>0.13*E35</f>
        <v>1.7290000000000001</v>
      </c>
      <c r="D35" s="21">
        <f>0.24*E35</f>
        <v>3.1920000000000002</v>
      </c>
      <c r="E35" s="21">
        <v>13.3</v>
      </c>
      <c r="G35" s="15"/>
    </row>
    <row r="36" spans="1:7" x14ac:dyDescent="0.25">
      <c r="A36" s="36">
        <v>1979</v>
      </c>
      <c r="B36" s="21"/>
      <c r="C36" s="21"/>
      <c r="D36" s="21"/>
      <c r="E36" s="21"/>
      <c r="G36" s="15"/>
    </row>
    <row r="37" spans="1:7" x14ac:dyDescent="0.25">
      <c r="A37" s="36">
        <v>1980</v>
      </c>
      <c r="B37" s="21">
        <f>0.56*E37</f>
        <v>7.056</v>
      </c>
      <c r="C37" s="21">
        <f>0.12*E37</f>
        <v>1.512</v>
      </c>
      <c r="D37" s="21">
        <f>0.22*E37</f>
        <v>2.7719999999999998</v>
      </c>
      <c r="E37" s="21">
        <v>12.6</v>
      </c>
    </row>
    <row r="38" spans="1:7" x14ac:dyDescent="0.25">
      <c r="A38" s="36">
        <v>1981</v>
      </c>
      <c r="B38" s="21">
        <f>0.53*E38</f>
        <v>6.519000000000001</v>
      </c>
      <c r="C38" s="21">
        <f>0.13*E38</f>
        <v>1.5990000000000002</v>
      </c>
      <c r="D38" s="21">
        <f>0.26*E38</f>
        <v>3.1980000000000004</v>
      </c>
      <c r="E38" s="21">
        <v>12.3</v>
      </c>
    </row>
    <row r="39" spans="1:7" x14ac:dyDescent="0.25">
      <c r="A39" s="36">
        <v>1982</v>
      </c>
      <c r="B39" s="14"/>
      <c r="C39" s="14"/>
      <c r="D39" s="14"/>
      <c r="E39" s="14"/>
      <c r="F39" s="14"/>
    </row>
    <row r="40" spans="1:7" x14ac:dyDescent="0.25">
      <c r="A40" s="36">
        <v>1983</v>
      </c>
      <c r="B40" s="21"/>
      <c r="C40" s="21"/>
      <c r="D40" s="21"/>
      <c r="E40" s="21"/>
      <c r="F40" s="21"/>
    </row>
    <row r="41" spans="1:7" x14ac:dyDescent="0.25">
      <c r="A41" s="36">
        <v>1984</v>
      </c>
      <c r="B41" s="21"/>
      <c r="C41" s="21"/>
      <c r="D41" s="21"/>
      <c r="E41" s="21"/>
    </row>
    <row r="42" spans="1:7" x14ac:dyDescent="0.25">
      <c r="A42" s="36">
        <v>1985</v>
      </c>
    </row>
    <row r="43" spans="1:7" x14ac:dyDescent="0.25">
      <c r="A43" s="36">
        <v>1986</v>
      </c>
    </row>
    <row r="44" spans="1:7" x14ac:dyDescent="0.25">
      <c r="A44" s="36">
        <v>1987</v>
      </c>
      <c r="B44" s="21"/>
      <c r="C44" s="21"/>
      <c r="D44" s="21"/>
      <c r="E44" s="21"/>
      <c r="F44" s="21"/>
    </row>
    <row r="45" spans="1:7" x14ac:dyDescent="0.25">
      <c r="A45" s="36">
        <v>1988</v>
      </c>
      <c r="B45" s="21"/>
      <c r="C45" s="21"/>
      <c r="D45" s="21"/>
      <c r="E45" s="21"/>
      <c r="F45" s="21"/>
    </row>
    <row r="46" spans="1:7" x14ac:dyDescent="0.25">
      <c r="A46" s="36">
        <v>1989</v>
      </c>
      <c r="B46" s="21"/>
      <c r="C46" s="21"/>
      <c r="D46" s="21"/>
      <c r="E46" s="21"/>
      <c r="F46" s="21"/>
    </row>
    <row r="47" spans="1:7" x14ac:dyDescent="0.25">
      <c r="A47" s="36">
        <v>1990</v>
      </c>
      <c r="B47" s="21"/>
      <c r="C47" s="21"/>
      <c r="D47" s="21"/>
      <c r="E47" s="21"/>
      <c r="F47" s="21"/>
    </row>
    <row r="48" spans="1:7" x14ac:dyDescent="0.25">
      <c r="A48" s="36">
        <v>1991</v>
      </c>
      <c r="B48" s="21"/>
      <c r="C48" s="21"/>
      <c r="D48" s="21"/>
      <c r="E48" s="21"/>
      <c r="F48" s="21"/>
    </row>
    <row r="49" spans="1:6" x14ac:dyDescent="0.25">
      <c r="A49" s="36">
        <v>1992</v>
      </c>
      <c r="B49" s="21"/>
      <c r="C49" s="21"/>
      <c r="D49" s="21"/>
      <c r="E49" s="21"/>
      <c r="F49" s="21"/>
    </row>
    <row r="50" spans="1:6" x14ac:dyDescent="0.25">
      <c r="A50" s="36">
        <v>1993</v>
      </c>
      <c r="B50" s="21"/>
      <c r="C50" s="21"/>
      <c r="E50" s="21"/>
      <c r="F50" s="21"/>
    </row>
    <row r="51" spans="1:6" x14ac:dyDescent="0.25">
      <c r="A51" s="36">
        <v>1994</v>
      </c>
      <c r="B51" s="14"/>
      <c r="C51" s="21"/>
      <c r="D51" s="21"/>
      <c r="E51" s="21"/>
      <c r="F51" s="21"/>
    </row>
    <row r="52" spans="1:6" x14ac:dyDescent="0.25">
      <c r="A52" s="36">
        <v>1995</v>
      </c>
      <c r="B52" s="21">
        <v>5.01</v>
      </c>
      <c r="C52" s="21">
        <v>1.48</v>
      </c>
      <c r="D52" s="21">
        <v>4.8</v>
      </c>
      <c r="E52" s="21">
        <v>11.3</v>
      </c>
      <c r="F52" s="21"/>
    </row>
    <row r="53" spans="1:6" x14ac:dyDescent="0.25">
      <c r="A53" s="36">
        <v>1996</v>
      </c>
      <c r="B53" s="21"/>
      <c r="C53" s="21"/>
      <c r="D53" s="21"/>
      <c r="E53" s="21"/>
      <c r="F53" s="21"/>
    </row>
    <row r="54" spans="1:6" x14ac:dyDescent="0.25">
      <c r="A54" s="36">
        <v>1997</v>
      </c>
      <c r="B54" s="21"/>
      <c r="C54" s="21"/>
      <c r="D54" s="21"/>
      <c r="E54" s="21"/>
      <c r="F54" s="21"/>
    </row>
    <row r="55" spans="1:6" x14ac:dyDescent="0.25">
      <c r="A55" s="36">
        <v>1998</v>
      </c>
      <c r="B55" s="21"/>
      <c r="C55" s="21"/>
      <c r="D55" s="21"/>
      <c r="E55" s="21"/>
      <c r="F55" s="21"/>
    </row>
    <row r="56" spans="1:6" x14ac:dyDescent="0.25">
      <c r="A56" s="36">
        <v>1999</v>
      </c>
      <c r="B56" s="21"/>
      <c r="C56" s="21"/>
      <c r="D56" s="21"/>
      <c r="E56" s="21"/>
      <c r="F56" s="21"/>
    </row>
    <row r="57" spans="1:6" x14ac:dyDescent="0.25">
      <c r="A57" s="36">
        <v>2000</v>
      </c>
      <c r="F57" s="21"/>
    </row>
    <row r="58" spans="1:6" x14ac:dyDescent="0.25">
      <c r="A58" s="36">
        <v>2001</v>
      </c>
    </row>
    <row r="59" spans="1:6" x14ac:dyDescent="0.25">
      <c r="A59" s="36">
        <v>2002</v>
      </c>
    </row>
    <row r="60" spans="1:6" x14ac:dyDescent="0.25">
      <c r="A60" s="36">
        <v>2003</v>
      </c>
    </row>
    <row r="61" spans="1:6" x14ac:dyDescent="0.25">
      <c r="A61" s="36">
        <v>2004</v>
      </c>
    </row>
    <row r="62" spans="1:6" x14ac:dyDescent="0.25">
      <c r="A62" s="36">
        <v>2005</v>
      </c>
    </row>
    <row r="63" spans="1:6" x14ac:dyDescent="0.25">
      <c r="A63" s="36">
        <v>2006</v>
      </c>
    </row>
    <row r="64" spans="1:6" x14ac:dyDescent="0.25">
      <c r="A64" s="36">
        <v>2007</v>
      </c>
      <c r="B64" s="21"/>
      <c r="C64" s="21"/>
      <c r="D64" s="21"/>
      <c r="E64" s="21"/>
    </row>
    <row r="65" spans="1:38" x14ac:dyDescent="0.25">
      <c r="A65" s="36">
        <v>2008</v>
      </c>
    </row>
    <row r="66" spans="1:38" x14ac:dyDescent="0.25">
      <c r="A66" s="36">
        <v>2009</v>
      </c>
      <c r="B66" s="21"/>
      <c r="C66" s="21"/>
      <c r="D66" s="21"/>
      <c r="E66" s="12"/>
    </row>
    <row r="67" spans="1:38" x14ac:dyDescent="0.25">
      <c r="A67" s="36">
        <v>2010</v>
      </c>
      <c r="B67" s="21">
        <v>2.1</v>
      </c>
      <c r="C67" s="21">
        <v>0.9</v>
      </c>
      <c r="D67" s="21">
        <v>6.1</v>
      </c>
      <c r="E67" s="14">
        <v>9.1</v>
      </c>
    </row>
    <row r="68" spans="1:38" x14ac:dyDescent="0.25">
      <c r="A68" s="36">
        <v>2011</v>
      </c>
    </row>
    <row r="69" spans="1:38" x14ac:dyDescent="0.25">
      <c r="A69" s="36">
        <v>2012</v>
      </c>
      <c r="B69" s="21"/>
      <c r="C69" s="21"/>
      <c r="D69" s="21"/>
    </row>
    <row r="70" spans="1:38" x14ac:dyDescent="0.25">
      <c r="A70" s="36">
        <v>2013</v>
      </c>
      <c r="B70" s="21"/>
      <c r="C70" s="21"/>
      <c r="D70" s="21"/>
    </row>
    <row r="71" spans="1:38" x14ac:dyDescent="0.25">
      <c r="A71" s="36">
        <v>2014</v>
      </c>
      <c r="B71" s="21"/>
      <c r="C71" s="21"/>
      <c r="D71" s="21"/>
    </row>
    <row r="72" spans="1:38" x14ac:dyDescent="0.25">
      <c r="A72" s="36">
        <v>2015</v>
      </c>
      <c r="B72" s="21"/>
      <c r="C72" s="21"/>
      <c r="D72" s="21"/>
    </row>
    <row r="73" spans="1:38" x14ac:dyDescent="0.25">
      <c r="A73" s="36">
        <v>2016</v>
      </c>
      <c r="B73" s="21"/>
      <c r="C73" s="21"/>
      <c r="D73" s="21"/>
    </row>
    <row r="74" spans="1:38" x14ac:dyDescent="0.25">
      <c r="A74" s="36">
        <v>2017</v>
      </c>
    </row>
    <row r="75" spans="1:38" x14ac:dyDescent="0.25">
      <c r="A75" s="36">
        <v>2018</v>
      </c>
    </row>
    <row r="76" spans="1:38" x14ac:dyDescent="0.25">
      <c r="A76" s="36">
        <v>2019</v>
      </c>
    </row>
    <row r="77" spans="1:38" x14ac:dyDescent="0.25">
      <c r="A77" s="36">
        <v>2020</v>
      </c>
      <c r="B77" s="21">
        <v>2.1</v>
      </c>
      <c r="C77" s="21">
        <v>0.9</v>
      </c>
      <c r="D77" s="21">
        <v>6.1</v>
      </c>
      <c r="E77" s="14">
        <v>9.1</v>
      </c>
    </row>
    <row r="78" spans="1:38" s="17" customFormat="1" x14ac:dyDescent="0.25">
      <c r="A78" s="36">
        <v>2021</v>
      </c>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row>
    <row r="79" spans="1:38" s="17" customFormat="1" x14ac:dyDescent="0.25">
      <c r="A79" s="36">
        <v>2022</v>
      </c>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row>
    <row r="80" spans="1:38" s="17" customFormat="1" x14ac:dyDescent="0.25">
      <c r="A80" s="36">
        <v>2023</v>
      </c>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row>
    <row r="87" spans="1:38" s="17" customFormat="1" x14ac:dyDescent="0.25">
      <c r="A87" s="16"/>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row>
    <row r="88" spans="1:38" s="17" customFormat="1" x14ac:dyDescent="0.25">
      <c r="A88" s="16"/>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E88"/>
  <sheetViews>
    <sheetView zoomScale="92" zoomScaleNormal="55" workbookViewId="0">
      <pane xSplit="1" ySplit="1" topLeftCell="B26" activePane="bottomRight" state="frozen"/>
      <selection pane="topRight" activeCell="B1" sqref="B1"/>
      <selection pane="bottomLeft" activeCell="A2" sqref="A2"/>
      <selection pane="bottomRight" activeCell="F78" sqref="F78"/>
    </sheetView>
  </sheetViews>
  <sheetFormatPr baseColWidth="10" defaultColWidth="10.7109375" defaultRowHeight="15" x14ac:dyDescent="0.25"/>
  <cols>
    <col min="1" max="1" width="12.28515625" style="2" customWidth="1"/>
    <col min="2" max="2" width="26.42578125" style="4" customWidth="1"/>
    <col min="3" max="16384" width="10.7109375" style="1"/>
  </cols>
  <sheetData>
    <row r="1" spans="1:2" s="3" customFormat="1" x14ac:dyDescent="0.25">
      <c r="A1" s="9" t="s">
        <v>0</v>
      </c>
      <c r="B1" s="5" t="s">
        <v>1</v>
      </c>
    </row>
    <row r="2" spans="1:2" x14ac:dyDescent="0.25">
      <c r="A2" s="8">
        <v>1945</v>
      </c>
      <c r="B2" s="7"/>
    </row>
    <row r="3" spans="1:2" x14ac:dyDescent="0.25">
      <c r="A3" s="8">
        <v>1946</v>
      </c>
      <c r="B3" s="1">
        <v>0</v>
      </c>
    </row>
    <row r="4" spans="1:2" x14ac:dyDescent="0.25">
      <c r="A4" s="8">
        <v>1947</v>
      </c>
    </row>
    <row r="5" spans="1:2" x14ac:dyDescent="0.25">
      <c r="A5" s="8">
        <v>1948</v>
      </c>
      <c r="B5" s="7"/>
    </row>
    <row r="6" spans="1:2" x14ac:dyDescent="0.25">
      <c r="A6" s="8">
        <v>1949</v>
      </c>
      <c r="B6" s="7"/>
    </row>
    <row r="7" spans="1:2" x14ac:dyDescent="0.25">
      <c r="A7" s="8">
        <v>1950</v>
      </c>
    </row>
    <row r="8" spans="1:2" x14ac:dyDescent="0.25">
      <c r="A8" s="8">
        <v>1951</v>
      </c>
      <c r="B8" s="7"/>
    </row>
    <row r="9" spans="1:2" x14ac:dyDescent="0.25">
      <c r="A9" s="8">
        <v>1952</v>
      </c>
      <c r="B9" s="7"/>
    </row>
    <row r="10" spans="1:2" x14ac:dyDescent="0.25">
      <c r="A10" s="8">
        <v>1953</v>
      </c>
      <c r="B10" s="7"/>
    </row>
    <row r="11" spans="1:2" x14ac:dyDescent="0.25">
      <c r="A11" s="8">
        <v>1954</v>
      </c>
      <c r="B11" s="7"/>
    </row>
    <row r="12" spans="1:2" x14ac:dyDescent="0.25">
      <c r="A12" s="8">
        <v>1955</v>
      </c>
      <c r="B12" s="24">
        <f>0.02*B27</f>
        <v>64.5</v>
      </c>
    </row>
    <row r="13" spans="1:2" x14ac:dyDescent="0.25">
      <c r="A13" s="8">
        <v>1956</v>
      </c>
      <c r="B13" s="1"/>
    </row>
    <row r="14" spans="1:2" x14ac:dyDescent="0.25">
      <c r="A14" s="8">
        <v>1957</v>
      </c>
    </row>
    <row r="15" spans="1:2" x14ac:dyDescent="0.25">
      <c r="A15" s="8">
        <v>1958</v>
      </c>
    </row>
    <row r="16" spans="1:2" x14ac:dyDescent="0.25">
      <c r="A16" s="8">
        <v>1959</v>
      </c>
      <c r="B16" s="7"/>
    </row>
    <row r="17" spans="1:5" x14ac:dyDescent="0.25">
      <c r="A17" s="8">
        <v>1960</v>
      </c>
      <c r="B17" s="7"/>
    </row>
    <row r="18" spans="1:5" x14ac:dyDescent="0.25">
      <c r="A18" s="8">
        <v>1961</v>
      </c>
      <c r="B18" s="7"/>
    </row>
    <row r="19" spans="1:5" x14ac:dyDescent="0.25">
      <c r="A19" s="8">
        <v>1962</v>
      </c>
      <c r="B19" s="7"/>
    </row>
    <row r="20" spans="1:5" x14ac:dyDescent="0.25">
      <c r="A20" s="8">
        <v>1963</v>
      </c>
      <c r="B20" s="7"/>
    </row>
    <row r="21" spans="1:5" x14ac:dyDescent="0.25">
      <c r="A21" s="8">
        <v>1964</v>
      </c>
      <c r="B21" s="7"/>
    </row>
    <row r="22" spans="1:5" x14ac:dyDescent="0.25">
      <c r="A22" s="8">
        <v>1965</v>
      </c>
      <c r="B22" s="7"/>
    </row>
    <row r="23" spans="1:5" x14ac:dyDescent="0.25">
      <c r="A23" s="8">
        <v>1966</v>
      </c>
      <c r="B23" s="7"/>
    </row>
    <row r="24" spans="1:5" x14ac:dyDescent="0.25">
      <c r="A24" s="8">
        <v>1967</v>
      </c>
      <c r="B24" s="7"/>
    </row>
    <row r="25" spans="1:5" x14ac:dyDescent="0.25">
      <c r="A25" s="8">
        <v>1968</v>
      </c>
      <c r="B25" s="7"/>
    </row>
    <row r="26" spans="1:5" x14ac:dyDescent="0.25">
      <c r="A26" s="8">
        <v>1969</v>
      </c>
      <c r="B26" s="7"/>
    </row>
    <row r="27" spans="1:5" x14ac:dyDescent="0.25">
      <c r="A27" s="8">
        <v>1970</v>
      </c>
      <c r="B27" s="7">
        <v>3225</v>
      </c>
      <c r="D27" s="46"/>
      <c r="E27" s="46"/>
    </row>
    <row r="28" spans="1:5" x14ac:dyDescent="0.25">
      <c r="A28" s="8">
        <v>1971</v>
      </c>
      <c r="B28" s="7"/>
      <c r="D28" s="46"/>
      <c r="E28" s="46"/>
    </row>
    <row r="29" spans="1:5" x14ac:dyDescent="0.25">
      <c r="A29" s="8">
        <v>1972</v>
      </c>
      <c r="B29" s="7"/>
      <c r="D29" s="46"/>
      <c r="E29" s="46"/>
    </row>
    <row r="30" spans="1:5" x14ac:dyDescent="0.25">
      <c r="A30" s="8">
        <v>1973</v>
      </c>
      <c r="B30" s="7"/>
      <c r="D30" s="46"/>
      <c r="E30" s="46"/>
    </row>
    <row r="31" spans="1:5" x14ac:dyDescent="0.25">
      <c r="A31" s="8">
        <v>1974</v>
      </c>
      <c r="B31" s="7"/>
      <c r="D31" s="46"/>
      <c r="E31" s="46"/>
    </row>
    <row r="32" spans="1:5" x14ac:dyDescent="0.25">
      <c r="A32" s="8">
        <v>1975</v>
      </c>
      <c r="B32" s="7"/>
      <c r="D32" s="46"/>
      <c r="E32" s="46"/>
    </row>
    <row r="33" spans="1:12" x14ac:dyDescent="0.25">
      <c r="A33" s="8">
        <v>1976</v>
      </c>
      <c r="B33" s="7"/>
      <c r="D33" s="46"/>
      <c r="E33" s="46"/>
    </row>
    <row r="34" spans="1:12" x14ac:dyDescent="0.25">
      <c r="A34" s="8">
        <v>1977</v>
      </c>
      <c r="B34" s="7"/>
      <c r="D34" s="46"/>
      <c r="E34" s="46"/>
    </row>
    <row r="35" spans="1:12" x14ac:dyDescent="0.25">
      <c r="A35" s="8">
        <v>1978</v>
      </c>
      <c r="B35" s="7">
        <v>4600</v>
      </c>
      <c r="D35" s="46"/>
      <c r="E35" s="46"/>
    </row>
    <row r="36" spans="1:12" x14ac:dyDescent="0.25">
      <c r="A36" s="8">
        <v>1979</v>
      </c>
      <c r="B36" s="7"/>
      <c r="D36" s="46"/>
      <c r="E36" s="46"/>
    </row>
    <row r="37" spans="1:12" x14ac:dyDescent="0.25">
      <c r="A37" s="8">
        <v>1980</v>
      </c>
      <c r="B37" s="7"/>
      <c r="D37" s="46"/>
      <c r="E37" s="46"/>
    </row>
    <row r="38" spans="1:12" x14ac:dyDescent="0.25">
      <c r="A38" s="8">
        <v>1981</v>
      </c>
      <c r="B38" s="7"/>
      <c r="D38" s="46"/>
      <c r="E38" s="46"/>
    </row>
    <row r="39" spans="1:12" x14ac:dyDescent="0.25">
      <c r="A39" s="8">
        <v>1982</v>
      </c>
      <c r="B39" s="1"/>
      <c r="D39" s="46"/>
      <c r="E39" s="46"/>
    </row>
    <row r="40" spans="1:12" x14ac:dyDescent="0.25">
      <c r="A40" s="8">
        <v>1983</v>
      </c>
      <c r="B40" s="1"/>
    </row>
    <row r="41" spans="1:12" x14ac:dyDescent="0.25">
      <c r="A41" s="8">
        <v>1984</v>
      </c>
      <c r="B41" s="1"/>
    </row>
    <row r="42" spans="1:12" x14ac:dyDescent="0.25">
      <c r="A42" s="8">
        <v>1985</v>
      </c>
      <c r="B42" s="1"/>
    </row>
    <row r="43" spans="1:12" x14ac:dyDescent="0.25">
      <c r="A43" s="8">
        <v>1986</v>
      </c>
      <c r="B43" s="1"/>
    </row>
    <row r="44" spans="1:12" x14ac:dyDescent="0.25">
      <c r="A44" s="8">
        <v>1987</v>
      </c>
      <c r="B44" s="1"/>
    </row>
    <row r="45" spans="1:12" x14ac:dyDescent="0.25">
      <c r="A45" s="8">
        <v>1988</v>
      </c>
      <c r="B45" s="1"/>
    </row>
    <row r="46" spans="1:12" x14ac:dyDescent="0.25">
      <c r="A46" s="8">
        <v>1989</v>
      </c>
      <c r="B46" s="1"/>
    </row>
    <row r="47" spans="1:12" x14ac:dyDescent="0.25">
      <c r="A47" s="8">
        <v>1990</v>
      </c>
      <c r="B47" s="1"/>
      <c r="L47" s="6"/>
    </row>
    <row r="48" spans="1:12" x14ac:dyDescent="0.25">
      <c r="A48" s="8">
        <v>1991</v>
      </c>
      <c r="B48" s="1"/>
      <c r="L48" s="6"/>
    </row>
    <row r="49" spans="1:2" x14ac:dyDescent="0.25">
      <c r="A49" s="8">
        <v>1992</v>
      </c>
      <c r="B49" s="1"/>
    </row>
    <row r="50" spans="1:2" x14ac:dyDescent="0.25">
      <c r="A50" s="8">
        <v>1993</v>
      </c>
      <c r="B50" s="1"/>
    </row>
    <row r="51" spans="1:2" x14ac:dyDescent="0.25">
      <c r="A51" s="8">
        <v>1994</v>
      </c>
      <c r="B51" s="1"/>
    </row>
    <row r="52" spans="1:2" x14ac:dyDescent="0.25">
      <c r="A52" s="8">
        <v>1995</v>
      </c>
      <c r="B52" s="1"/>
    </row>
    <row r="53" spans="1:2" x14ac:dyDescent="0.25">
      <c r="A53" s="8">
        <v>1996</v>
      </c>
      <c r="B53" s="1"/>
    </row>
    <row r="54" spans="1:2" x14ac:dyDescent="0.25">
      <c r="A54" s="8">
        <v>1997</v>
      </c>
      <c r="B54" s="1"/>
    </row>
    <row r="55" spans="1:2" x14ac:dyDescent="0.25">
      <c r="A55" s="8">
        <v>1998</v>
      </c>
      <c r="B55" s="1"/>
    </row>
    <row r="56" spans="1:2" x14ac:dyDescent="0.25">
      <c r="A56" s="8">
        <v>1999</v>
      </c>
      <c r="B56" s="1"/>
    </row>
    <row r="57" spans="1:2" x14ac:dyDescent="0.25">
      <c r="A57" s="8">
        <v>2000</v>
      </c>
      <c r="B57" s="1"/>
    </row>
    <row r="58" spans="1:2" x14ac:dyDescent="0.25">
      <c r="A58" s="8">
        <v>2001</v>
      </c>
      <c r="B58" s="1"/>
    </row>
    <row r="59" spans="1:2" x14ac:dyDescent="0.25">
      <c r="A59" s="8">
        <v>2002</v>
      </c>
      <c r="B59" s="1"/>
    </row>
    <row r="60" spans="1:2" x14ac:dyDescent="0.25">
      <c r="A60" s="8">
        <v>2003</v>
      </c>
      <c r="B60" s="1"/>
    </row>
    <row r="61" spans="1:2" x14ac:dyDescent="0.25">
      <c r="A61" s="8">
        <v>2004</v>
      </c>
      <c r="B61" s="1"/>
    </row>
    <row r="62" spans="1:2" x14ac:dyDescent="0.25">
      <c r="A62" s="8">
        <v>2005</v>
      </c>
      <c r="B62" s="1"/>
    </row>
    <row r="63" spans="1:2" x14ac:dyDescent="0.25">
      <c r="A63" s="8">
        <v>2006</v>
      </c>
      <c r="B63" s="1"/>
    </row>
    <row r="64" spans="1:2" x14ac:dyDescent="0.25">
      <c r="A64" s="8">
        <v>2007</v>
      </c>
      <c r="B64" s="1"/>
    </row>
    <row r="65" spans="1:57" x14ac:dyDescent="0.25">
      <c r="A65" s="8">
        <v>2008</v>
      </c>
      <c r="B65" s="1"/>
    </row>
    <row r="66" spans="1:57" x14ac:dyDescent="0.25">
      <c r="A66" s="8">
        <v>2009</v>
      </c>
      <c r="B66" s="1"/>
    </row>
    <row r="67" spans="1:57" x14ac:dyDescent="0.25">
      <c r="A67" s="8">
        <v>2010</v>
      </c>
      <c r="B67" s="1"/>
    </row>
    <row r="68" spans="1:57" x14ac:dyDescent="0.25">
      <c r="A68" s="8">
        <v>2011</v>
      </c>
      <c r="B68" s="1"/>
    </row>
    <row r="69" spans="1:57" x14ac:dyDescent="0.25">
      <c r="A69" s="8">
        <v>2012</v>
      </c>
      <c r="B69" s="1"/>
    </row>
    <row r="70" spans="1:57" x14ac:dyDescent="0.25">
      <c r="A70" s="8">
        <v>2013</v>
      </c>
      <c r="B70" s="1"/>
    </row>
    <row r="71" spans="1:57" x14ac:dyDescent="0.25">
      <c r="A71" s="8">
        <v>2014</v>
      </c>
      <c r="B71" s="1"/>
    </row>
    <row r="72" spans="1:57" x14ac:dyDescent="0.25">
      <c r="A72" s="8">
        <v>2015</v>
      </c>
      <c r="B72" s="1"/>
    </row>
    <row r="73" spans="1:57" x14ac:dyDescent="0.25">
      <c r="A73" s="8">
        <v>2016</v>
      </c>
      <c r="B73" s="1"/>
    </row>
    <row r="74" spans="1:57" x14ac:dyDescent="0.25">
      <c r="A74" s="8">
        <v>2017</v>
      </c>
      <c r="B74" s="1"/>
    </row>
    <row r="75" spans="1:57" x14ac:dyDescent="0.25">
      <c r="A75" s="8">
        <v>2018</v>
      </c>
      <c r="B75" s="1"/>
    </row>
    <row r="76" spans="1:57" x14ac:dyDescent="0.25">
      <c r="A76" s="8">
        <v>2019</v>
      </c>
      <c r="B76" s="1"/>
    </row>
    <row r="77" spans="1:57" x14ac:dyDescent="0.25">
      <c r="A77" s="8">
        <v>2020</v>
      </c>
      <c r="B77" s="1"/>
    </row>
    <row r="78" spans="1:57" s="4" customFormat="1" x14ac:dyDescent="0.25">
      <c r="A78" s="8">
        <v>2021</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row>
    <row r="79" spans="1:57" s="4" customFormat="1" x14ac:dyDescent="0.25">
      <c r="A79" s="8">
        <v>2022</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row>
    <row r="80" spans="1:57" s="4" customFormat="1" x14ac:dyDescent="0.25">
      <c r="A80" s="8">
        <v>2023</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7" spans="1:57" s="4" customFormat="1" x14ac:dyDescent="0.25">
      <c r="A87" s="2"/>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row>
    <row r="88" spans="1:57" s="4" customFormat="1" x14ac:dyDescent="0.25">
      <c r="A88" s="2"/>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C88"/>
  <sheetViews>
    <sheetView zoomScale="92" zoomScaleNormal="55" workbookViewId="0">
      <pane xSplit="1" ySplit="1" topLeftCell="B61" activePane="bottomRight" state="frozen"/>
      <selection pane="topRight" activeCell="B1" sqref="B1"/>
      <selection pane="bottomLeft" activeCell="A2" sqref="A2"/>
      <selection pane="bottomRight" activeCell="B79" sqref="B79"/>
    </sheetView>
  </sheetViews>
  <sheetFormatPr baseColWidth="10" defaultColWidth="10.7109375" defaultRowHeight="15" x14ac:dyDescent="0.25"/>
  <cols>
    <col min="1" max="1" width="12.28515625" style="2" customWidth="1"/>
    <col min="2" max="2" width="26.42578125" style="4" customWidth="1"/>
    <col min="3" max="16384" width="10.7109375" style="1"/>
  </cols>
  <sheetData>
    <row r="1" spans="1:2" s="3" customFormat="1" x14ac:dyDescent="0.25">
      <c r="A1" s="9" t="s">
        <v>0</v>
      </c>
      <c r="B1" s="5" t="s">
        <v>1</v>
      </c>
    </row>
    <row r="2" spans="1:2" x14ac:dyDescent="0.25">
      <c r="A2" s="8">
        <v>1945</v>
      </c>
      <c r="B2" s="7"/>
    </row>
    <row r="3" spans="1:2" x14ac:dyDescent="0.25">
      <c r="A3" s="8">
        <v>1946</v>
      </c>
      <c r="B3" s="1">
        <v>0</v>
      </c>
    </row>
    <row r="4" spans="1:2" x14ac:dyDescent="0.25">
      <c r="A4" s="8">
        <v>1947</v>
      </c>
    </row>
    <row r="5" spans="1:2" x14ac:dyDescent="0.25">
      <c r="A5" s="8">
        <v>1948</v>
      </c>
      <c r="B5" s="7"/>
    </row>
    <row r="6" spans="1:2" x14ac:dyDescent="0.25">
      <c r="A6" s="8">
        <v>1949</v>
      </c>
      <c r="B6" s="7"/>
    </row>
    <row r="7" spans="1:2" x14ac:dyDescent="0.25">
      <c r="A7" s="8">
        <v>1950</v>
      </c>
    </row>
    <row r="8" spans="1:2" x14ac:dyDescent="0.25">
      <c r="A8" s="8">
        <v>1951</v>
      </c>
      <c r="B8" s="7"/>
    </row>
    <row r="9" spans="1:2" x14ac:dyDescent="0.25">
      <c r="A9" s="8">
        <v>1952</v>
      </c>
      <c r="B9" s="7"/>
    </row>
    <row r="10" spans="1:2" x14ac:dyDescent="0.25">
      <c r="A10" s="8">
        <v>1953</v>
      </c>
      <c r="B10" s="7"/>
    </row>
    <row r="11" spans="1:2" x14ac:dyDescent="0.25">
      <c r="A11" s="8">
        <v>1954</v>
      </c>
      <c r="B11" s="7"/>
    </row>
    <row r="12" spans="1:2" x14ac:dyDescent="0.25">
      <c r="A12" s="8">
        <v>1955</v>
      </c>
      <c r="B12" s="24">
        <f>0.02*B27</f>
        <v>69.5</v>
      </c>
    </row>
    <row r="13" spans="1:2" x14ac:dyDescent="0.25">
      <c r="A13" s="8">
        <v>1956</v>
      </c>
      <c r="B13" s="1"/>
    </row>
    <row r="14" spans="1:2" x14ac:dyDescent="0.25">
      <c r="A14" s="8">
        <v>1957</v>
      </c>
    </row>
    <row r="15" spans="1:2" x14ac:dyDescent="0.25">
      <c r="A15" s="8">
        <v>1958</v>
      </c>
    </row>
    <row r="16" spans="1:2" x14ac:dyDescent="0.25">
      <c r="A16" s="8">
        <v>1959</v>
      </c>
      <c r="B16" s="7"/>
    </row>
    <row r="17" spans="1:2" x14ac:dyDescent="0.25">
      <c r="A17" s="8">
        <v>1960</v>
      </c>
      <c r="B17" s="7"/>
    </row>
    <row r="18" spans="1:2" x14ac:dyDescent="0.25">
      <c r="A18" s="8">
        <v>1961</v>
      </c>
      <c r="B18" s="7"/>
    </row>
    <row r="19" spans="1:2" x14ac:dyDescent="0.25">
      <c r="A19" s="8">
        <v>1962</v>
      </c>
      <c r="B19" s="7"/>
    </row>
    <row r="20" spans="1:2" x14ac:dyDescent="0.25">
      <c r="A20" s="8">
        <v>1963</v>
      </c>
      <c r="B20" s="7"/>
    </row>
    <row r="21" spans="1:2" x14ac:dyDescent="0.25">
      <c r="A21" s="8">
        <v>1964</v>
      </c>
      <c r="B21" s="7"/>
    </row>
    <row r="22" spans="1:2" x14ac:dyDescent="0.25">
      <c r="A22" s="8">
        <v>1965</v>
      </c>
      <c r="B22" s="7"/>
    </row>
    <row r="23" spans="1:2" x14ac:dyDescent="0.25">
      <c r="A23" s="8">
        <v>1966</v>
      </c>
      <c r="B23" s="7"/>
    </row>
    <row r="24" spans="1:2" x14ac:dyDescent="0.25">
      <c r="A24" s="8">
        <v>1967</v>
      </c>
      <c r="B24" s="7"/>
    </row>
    <row r="25" spans="1:2" x14ac:dyDescent="0.25">
      <c r="A25" s="8">
        <v>1968</v>
      </c>
      <c r="B25" s="7"/>
    </row>
    <row r="26" spans="1:2" x14ac:dyDescent="0.25">
      <c r="A26" s="8">
        <v>1969</v>
      </c>
      <c r="B26" s="7"/>
    </row>
    <row r="27" spans="1:2" x14ac:dyDescent="0.25">
      <c r="A27" s="8">
        <v>1970</v>
      </c>
      <c r="B27" s="7">
        <v>3475</v>
      </c>
    </row>
    <row r="28" spans="1:2" x14ac:dyDescent="0.25">
      <c r="A28" s="8">
        <v>1971</v>
      </c>
      <c r="B28" s="7">
        <v>3405</v>
      </c>
    </row>
    <row r="29" spans="1:2" x14ac:dyDescent="0.25">
      <c r="A29" s="8">
        <v>1972</v>
      </c>
      <c r="B29" s="7">
        <v>3440</v>
      </c>
    </row>
    <row r="30" spans="1:2" x14ac:dyDescent="0.25">
      <c r="A30" s="8">
        <v>1973</v>
      </c>
      <c r="B30" s="7">
        <v>3580</v>
      </c>
    </row>
    <row r="31" spans="1:2" x14ac:dyDescent="0.25">
      <c r="A31" s="8">
        <v>1974</v>
      </c>
      <c r="B31" s="7">
        <v>3900</v>
      </c>
    </row>
    <row r="32" spans="1:2" x14ac:dyDescent="0.25">
      <c r="A32" s="8">
        <v>1975</v>
      </c>
      <c r="B32" s="7">
        <v>4165</v>
      </c>
    </row>
    <row r="33" spans="1:10" x14ac:dyDescent="0.25">
      <c r="A33" s="8">
        <v>1976</v>
      </c>
      <c r="B33" s="7">
        <v>4505</v>
      </c>
    </row>
    <row r="34" spans="1:10" x14ac:dyDescent="0.25">
      <c r="A34" s="8">
        <v>1977</v>
      </c>
      <c r="B34" s="7">
        <v>4807</v>
      </c>
    </row>
    <row r="35" spans="1:10" x14ac:dyDescent="0.25">
      <c r="A35" s="8">
        <v>1978</v>
      </c>
      <c r="B35" s="7">
        <v>4830</v>
      </c>
    </row>
    <row r="36" spans="1:10" x14ac:dyDescent="0.25">
      <c r="A36" s="8">
        <v>1979</v>
      </c>
      <c r="B36" s="7"/>
    </row>
    <row r="37" spans="1:10" x14ac:dyDescent="0.25">
      <c r="A37" s="8">
        <v>1980</v>
      </c>
      <c r="B37" s="7"/>
    </row>
    <row r="38" spans="1:10" x14ac:dyDescent="0.25">
      <c r="A38" s="8">
        <v>1981</v>
      </c>
      <c r="B38" s="7"/>
    </row>
    <row r="39" spans="1:10" x14ac:dyDescent="0.25">
      <c r="A39" s="8">
        <v>1982</v>
      </c>
      <c r="B39" s="6">
        <v>4184</v>
      </c>
    </row>
    <row r="40" spans="1:10" x14ac:dyDescent="0.25">
      <c r="A40" s="8">
        <v>1983</v>
      </c>
      <c r="B40" s="6">
        <v>4850</v>
      </c>
    </row>
    <row r="41" spans="1:10" x14ac:dyDescent="0.25">
      <c r="A41" s="8">
        <v>1984</v>
      </c>
      <c r="B41" s="6">
        <v>4429</v>
      </c>
    </row>
    <row r="42" spans="1:10" x14ac:dyDescent="0.25">
      <c r="A42" s="8">
        <v>1985</v>
      </c>
      <c r="B42" s="6">
        <v>4314</v>
      </c>
    </row>
    <row r="43" spans="1:10" x14ac:dyDescent="0.25">
      <c r="A43" s="8">
        <v>1986</v>
      </c>
      <c r="B43" s="6">
        <v>5072</v>
      </c>
    </row>
    <row r="44" spans="1:10" x14ac:dyDescent="0.25">
      <c r="A44" s="8">
        <v>1987</v>
      </c>
      <c r="B44" s="6">
        <v>6019</v>
      </c>
    </row>
    <row r="45" spans="1:10" x14ac:dyDescent="0.25">
      <c r="A45" s="8">
        <v>1988</v>
      </c>
      <c r="B45" s="6">
        <v>6660</v>
      </c>
    </row>
    <row r="46" spans="1:10" x14ac:dyDescent="0.25">
      <c r="A46" s="8">
        <v>1989</v>
      </c>
      <c r="B46" s="6">
        <v>6760</v>
      </c>
    </row>
    <row r="47" spans="1:10" x14ac:dyDescent="0.25">
      <c r="A47" s="8">
        <v>1990</v>
      </c>
      <c r="B47" s="6">
        <v>7062</v>
      </c>
      <c r="J47" s="6"/>
    </row>
    <row r="48" spans="1:10" x14ac:dyDescent="0.25">
      <c r="A48" s="8">
        <v>1991</v>
      </c>
      <c r="B48" s="6">
        <v>8047</v>
      </c>
      <c r="J48" s="6"/>
    </row>
    <row r="49" spans="1:2" x14ac:dyDescent="0.25">
      <c r="A49" s="8">
        <v>1992</v>
      </c>
      <c r="B49" s="6">
        <v>7945</v>
      </c>
    </row>
    <row r="50" spans="1:2" x14ac:dyDescent="0.25">
      <c r="A50" s="8">
        <v>1993</v>
      </c>
      <c r="B50" s="6">
        <v>8091</v>
      </c>
    </row>
    <row r="51" spans="1:2" x14ac:dyDescent="0.25">
      <c r="A51" s="8">
        <v>1994</v>
      </c>
      <c r="B51" s="6">
        <v>8998</v>
      </c>
    </row>
    <row r="52" spans="1:2" x14ac:dyDescent="0.25">
      <c r="A52" s="8">
        <v>1995</v>
      </c>
      <c r="B52" s="6">
        <v>9563</v>
      </c>
    </row>
    <row r="53" spans="1:2" x14ac:dyDescent="0.25">
      <c r="A53" s="8">
        <v>1996</v>
      </c>
      <c r="B53" s="6">
        <v>9768</v>
      </c>
    </row>
    <row r="54" spans="1:2" x14ac:dyDescent="0.25">
      <c r="A54" s="8">
        <v>1997</v>
      </c>
      <c r="B54" s="7">
        <v>10243</v>
      </c>
    </row>
    <row r="55" spans="1:2" x14ac:dyDescent="0.25">
      <c r="A55" s="8">
        <v>1998</v>
      </c>
      <c r="B55" s="7">
        <v>10926</v>
      </c>
    </row>
    <row r="56" spans="1:2" x14ac:dyDescent="0.25">
      <c r="A56" s="8">
        <v>1999</v>
      </c>
      <c r="B56" s="7">
        <v>12257</v>
      </c>
    </row>
    <row r="57" spans="1:2" x14ac:dyDescent="0.25">
      <c r="A57" s="8">
        <v>2000</v>
      </c>
      <c r="B57" s="7">
        <v>13383</v>
      </c>
    </row>
    <row r="58" spans="1:2" x14ac:dyDescent="0.25">
      <c r="A58" s="8">
        <v>2001</v>
      </c>
      <c r="B58" s="7">
        <v>14400</v>
      </c>
    </row>
    <row r="59" spans="1:2" x14ac:dyDescent="0.25">
      <c r="A59" s="8">
        <v>2002</v>
      </c>
      <c r="B59" s="7">
        <v>14281</v>
      </c>
    </row>
    <row r="60" spans="1:2" x14ac:dyDescent="0.25">
      <c r="A60" s="8">
        <v>2003</v>
      </c>
      <c r="B60" s="7">
        <v>14465</v>
      </c>
    </row>
    <row r="61" spans="1:2" x14ac:dyDescent="0.25">
      <c r="A61" s="8">
        <v>2004</v>
      </c>
      <c r="B61" s="7">
        <v>15296</v>
      </c>
    </row>
    <row r="62" spans="1:2" x14ac:dyDescent="0.25">
      <c r="A62" s="8">
        <v>2005</v>
      </c>
      <c r="B62" s="7">
        <v>15318.19</v>
      </c>
    </row>
    <row r="63" spans="1:2" x14ac:dyDescent="0.25">
      <c r="A63" s="8">
        <v>2006</v>
      </c>
      <c r="B63" s="7">
        <v>16158</v>
      </c>
    </row>
    <row r="64" spans="1:2" x14ac:dyDescent="0.25">
      <c r="A64" s="8">
        <v>2007</v>
      </c>
      <c r="B64" s="7">
        <v>16730</v>
      </c>
    </row>
    <row r="65" spans="1:55" x14ac:dyDescent="0.25">
      <c r="A65" s="8">
        <v>2008</v>
      </c>
      <c r="B65" s="7">
        <v>16382.708000000001</v>
      </c>
    </row>
    <row r="66" spans="1:55" x14ac:dyDescent="0.25">
      <c r="A66" s="8">
        <v>2009</v>
      </c>
      <c r="B66" s="7">
        <v>15460.977999999999</v>
      </c>
    </row>
    <row r="67" spans="1:55" x14ac:dyDescent="0.25">
      <c r="A67" s="8">
        <v>2010</v>
      </c>
      <c r="B67" s="7">
        <v>16209.016</v>
      </c>
    </row>
    <row r="68" spans="1:55" x14ac:dyDescent="0.25">
      <c r="A68" s="8">
        <v>2011</v>
      </c>
      <c r="B68" s="7">
        <v>16997.707999999999</v>
      </c>
    </row>
    <row r="69" spans="1:55" x14ac:dyDescent="0.25">
      <c r="A69" s="8">
        <v>2012</v>
      </c>
      <c r="B69" s="7">
        <v>16424.399000000001</v>
      </c>
    </row>
    <row r="70" spans="1:55" x14ac:dyDescent="0.25">
      <c r="A70" s="8">
        <v>2013</v>
      </c>
      <c r="B70" s="7">
        <v>15763.493</v>
      </c>
    </row>
    <row r="71" spans="1:55" x14ac:dyDescent="0.25">
      <c r="A71" s="8">
        <v>2014</v>
      </c>
      <c r="B71" s="7">
        <v>15000.332</v>
      </c>
    </row>
    <row r="72" spans="1:55" x14ac:dyDescent="0.25">
      <c r="A72" s="8">
        <v>2015</v>
      </c>
      <c r="B72" s="7">
        <v>15062.705</v>
      </c>
    </row>
    <row r="73" spans="1:55" x14ac:dyDescent="0.25">
      <c r="A73" s="8">
        <v>2016</v>
      </c>
      <c r="B73" s="7">
        <v>15192.061</v>
      </c>
    </row>
    <row r="74" spans="1:55" x14ac:dyDescent="0.25">
      <c r="A74" s="8">
        <v>2017</v>
      </c>
      <c r="B74" s="7">
        <v>15696.879000000001</v>
      </c>
    </row>
    <row r="75" spans="1:55" x14ac:dyDescent="0.25">
      <c r="A75" s="8">
        <v>2018</v>
      </c>
      <c r="B75" s="7">
        <v>16462.59</v>
      </c>
    </row>
    <row r="76" spans="1:55" x14ac:dyDescent="0.25">
      <c r="A76" s="8">
        <v>2019</v>
      </c>
      <c r="B76" s="7">
        <v>17833.829000000002</v>
      </c>
    </row>
    <row r="77" spans="1:55" x14ac:dyDescent="0.25">
      <c r="A77" s="8">
        <v>2020</v>
      </c>
      <c r="B77" s="7">
        <v>14859.147000000001</v>
      </c>
    </row>
    <row r="78" spans="1:55" s="4" customFormat="1" x14ac:dyDescent="0.25">
      <c r="A78" s="8">
        <v>2021</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row>
    <row r="79" spans="1:55" s="4" customFormat="1" x14ac:dyDescent="0.25">
      <c r="A79" s="8">
        <v>2022</v>
      </c>
      <c r="B79" s="7">
        <v>23195.739000000001</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row>
    <row r="80" spans="1:55" s="4" customFormat="1" x14ac:dyDescent="0.25">
      <c r="A80" s="8">
        <v>2023</v>
      </c>
      <c r="B80" s="7">
        <v>21764.756000000001</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row>
    <row r="87" spans="1:55" s="4" customFormat="1" x14ac:dyDescent="0.25">
      <c r="A87" s="2"/>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row>
    <row r="88" spans="1:55" s="4" customFormat="1" x14ac:dyDescent="0.25">
      <c r="A88" s="2"/>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row>
  </sheetData>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N88"/>
  <sheetViews>
    <sheetView topLeftCell="A14" zoomScale="70" zoomScaleNormal="70" workbookViewId="0">
      <selection activeCell="B81" sqref="B81"/>
    </sheetView>
  </sheetViews>
  <sheetFormatPr baseColWidth="10" defaultColWidth="10.7109375" defaultRowHeight="15" x14ac:dyDescent="0.25"/>
  <cols>
    <col min="1" max="1" width="10" style="2" customWidth="1"/>
    <col min="2" max="2" width="26.85546875" style="1" customWidth="1"/>
    <col min="3" max="16384" width="10.7109375" style="1"/>
  </cols>
  <sheetData>
    <row r="1" spans="1:2" s="11" customFormat="1" x14ac:dyDescent="0.25">
      <c r="A1" s="10" t="s">
        <v>0</v>
      </c>
      <c r="B1" s="19" t="s">
        <v>1</v>
      </c>
    </row>
    <row r="2" spans="1:2" x14ac:dyDescent="0.25">
      <c r="A2" s="8">
        <v>1945</v>
      </c>
    </row>
    <row r="3" spans="1:2" x14ac:dyDescent="0.25">
      <c r="A3" s="8">
        <v>1946</v>
      </c>
    </row>
    <row r="4" spans="1:2" x14ac:dyDescent="0.25">
      <c r="A4" s="8">
        <v>1947</v>
      </c>
    </row>
    <row r="5" spans="1:2" x14ac:dyDescent="0.25">
      <c r="A5" s="8">
        <v>1948</v>
      </c>
    </row>
    <row r="6" spans="1:2" x14ac:dyDescent="0.25">
      <c r="A6" s="8">
        <v>1949</v>
      </c>
    </row>
    <row r="7" spans="1:2" x14ac:dyDescent="0.25">
      <c r="A7" s="8">
        <v>1950</v>
      </c>
    </row>
    <row r="8" spans="1:2" x14ac:dyDescent="0.25">
      <c r="A8" s="8">
        <v>1951</v>
      </c>
    </row>
    <row r="9" spans="1:2" x14ac:dyDescent="0.25">
      <c r="A9" s="8">
        <v>1952</v>
      </c>
    </row>
    <row r="10" spans="1:2" x14ac:dyDescent="0.25">
      <c r="A10" s="8">
        <v>1953</v>
      </c>
    </row>
    <row r="11" spans="1:2" x14ac:dyDescent="0.25">
      <c r="A11" s="8">
        <v>1954</v>
      </c>
    </row>
    <row r="12" spans="1:2" x14ac:dyDescent="0.25">
      <c r="A12" s="8">
        <v>1955</v>
      </c>
    </row>
    <row r="13" spans="1:2" x14ac:dyDescent="0.25">
      <c r="A13" s="8">
        <v>1956</v>
      </c>
    </row>
    <row r="14" spans="1:2" x14ac:dyDescent="0.25">
      <c r="A14" s="8">
        <v>1957</v>
      </c>
    </row>
    <row r="15" spans="1:2" x14ac:dyDescent="0.25">
      <c r="A15" s="8">
        <v>1958</v>
      </c>
    </row>
    <row r="16" spans="1:2" x14ac:dyDescent="0.25">
      <c r="A16" s="8">
        <v>1959</v>
      </c>
    </row>
    <row r="17" spans="1:1" x14ac:dyDescent="0.25">
      <c r="A17" s="8">
        <v>1960</v>
      </c>
    </row>
    <row r="18" spans="1:1" x14ac:dyDescent="0.25">
      <c r="A18" s="8">
        <v>1961</v>
      </c>
    </row>
    <row r="19" spans="1:1" x14ac:dyDescent="0.25">
      <c r="A19" s="8">
        <v>1962</v>
      </c>
    </row>
    <row r="20" spans="1:1" x14ac:dyDescent="0.25">
      <c r="A20" s="8">
        <v>1963</v>
      </c>
    </row>
    <row r="21" spans="1:1" x14ac:dyDescent="0.25">
      <c r="A21" s="8">
        <v>1964</v>
      </c>
    </row>
    <row r="22" spans="1:1" x14ac:dyDescent="0.25">
      <c r="A22" s="8">
        <v>1965</v>
      </c>
    </row>
    <row r="23" spans="1:1" x14ac:dyDescent="0.25">
      <c r="A23" s="8">
        <v>1966</v>
      </c>
    </row>
    <row r="24" spans="1:1" x14ac:dyDescent="0.25">
      <c r="A24" s="8">
        <v>1967</v>
      </c>
    </row>
    <row r="25" spans="1:1" x14ac:dyDescent="0.25">
      <c r="A25" s="8">
        <v>1968</v>
      </c>
    </row>
    <row r="26" spans="1:1" x14ac:dyDescent="0.25">
      <c r="A26" s="8">
        <v>1969</v>
      </c>
    </row>
    <row r="27" spans="1:1" x14ac:dyDescent="0.25">
      <c r="A27" s="8">
        <v>1970</v>
      </c>
    </row>
    <row r="28" spans="1:1" x14ac:dyDescent="0.25">
      <c r="A28" s="8">
        <v>1971</v>
      </c>
    </row>
    <row r="29" spans="1:1" x14ac:dyDescent="0.25">
      <c r="A29" s="8">
        <v>1972</v>
      </c>
    </row>
    <row r="30" spans="1:1" x14ac:dyDescent="0.25">
      <c r="A30" s="8">
        <v>1973</v>
      </c>
    </row>
    <row r="31" spans="1:1" x14ac:dyDescent="0.25">
      <c r="A31" s="8">
        <v>1974</v>
      </c>
    </row>
    <row r="32" spans="1:1" x14ac:dyDescent="0.25">
      <c r="A32" s="8">
        <v>1975</v>
      </c>
    </row>
    <row r="33" spans="1:1" x14ac:dyDescent="0.25">
      <c r="A33" s="8">
        <v>1976</v>
      </c>
    </row>
    <row r="34" spans="1:1" x14ac:dyDescent="0.25">
      <c r="A34" s="8">
        <v>1977</v>
      </c>
    </row>
    <row r="35" spans="1:1" x14ac:dyDescent="0.25">
      <c r="A35" s="8">
        <v>1978</v>
      </c>
    </row>
    <row r="36" spans="1:1" x14ac:dyDescent="0.25">
      <c r="A36" s="8">
        <v>1979</v>
      </c>
    </row>
    <row r="37" spans="1:1" x14ac:dyDescent="0.25">
      <c r="A37" s="8">
        <v>1980</v>
      </c>
    </row>
    <row r="38" spans="1:1" x14ac:dyDescent="0.25">
      <c r="A38" s="8">
        <v>1981</v>
      </c>
    </row>
    <row r="39" spans="1:1" x14ac:dyDescent="0.25">
      <c r="A39" s="8">
        <v>1982</v>
      </c>
    </row>
    <row r="40" spans="1:1" x14ac:dyDescent="0.25">
      <c r="A40" s="8">
        <v>1983</v>
      </c>
    </row>
    <row r="41" spans="1:1" x14ac:dyDescent="0.25">
      <c r="A41" s="8">
        <v>1984</v>
      </c>
    </row>
    <row r="42" spans="1:1" x14ac:dyDescent="0.25">
      <c r="A42" s="8">
        <v>1985</v>
      </c>
    </row>
    <row r="43" spans="1:1" x14ac:dyDescent="0.25">
      <c r="A43" s="8">
        <v>1986</v>
      </c>
    </row>
    <row r="44" spans="1:1" x14ac:dyDescent="0.25">
      <c r="A44" s="8">
        <v>1987</v>
      </c>
    </row>
    <row r="45" spans="1:1" x14ac:dyDescent="0.25">
      <c r="A45" s="8">
        <v>1988</v>
      </c>
    </row>
    <row r="46" spans="1:1" x14ac:dyDescent="0.25">
      <c r="A46" s="8">
        <v>1989</v>
      </c>
    </row>
    <row r="47" spans="1:1" x14ac:dyDescent="0.25">
      <c r="A47" s="8">
        <v>1990</v>
      </c>
    </row>
    <row r="48" spans="1:1" x14ac:dyDescent="0.25">
      <c r="A48" s="8">
        <v>1991</v>
      </c>
    </row>
    <row r="49" spans="1:4" x14ac:dyDescent="0.25">
      <c r="A49" s="8">
        <v>1992</v>
      </c>
    </row>
    <row r="50" spans="1:4" x14ac:dyDescent="0.25">
      <c r="A50" s="8">
        <v>1993</v>
      </c>
    </row>
    <row r="51" spans="1:4" x14ac:dyDescent="0.25">
      <c r="A51" s="8">
        <v>1994</v>
      </c>
    </row>
    <row r="52" spans="1:4" x14ac:dyDescent="0.25">
      <c r="A52" s="8">
        <v>1995</v>
      </c>
      <c r="B52" s="6"/>
    </row>
    <row r="53" spans="1:4" x14ac:dyDescent="0.25">
      <c r="A53" s="8">
        <v>1996</v>
      </c>
      <c r="B53" s="6"/>
      <c r="D53" s="20"/>
    </row>
    <row r="54" spans="1:4" x14ac:dyDescent="0.25">
      <c r="A54" s="8">
        <v>1997</v>
      </c>
      <c r="B54" s="6">
        <v>907.14300000000003</v>
      </c>
      <c r="D54" s="20"/>
    </row>
    <row r="55" spans="1:4" x14ac:dyDescent="0.25">
      <c r="A55" s="8">
        <v>1998</v>
      </c>
      <c r="B55" s="6">
        <v>905.85</v>
      </c>
      <c r="D55" s="20"/>
    </row>
    <row r="56" spans="1:4" x14ac:dyDescent="0.25">
      <c r="A56" s="8">
        <v>1999</v>
      </c>
      <c r="B56" s="6">
        <v>1316.0060000000001</v>
      </c>
      <c r="D56" s="20"/>
    </row>
    <row r="57" spans="1:4" x14ac:dyDescent="0.25">
      <c r="A57" s="8">
        <v>2000</v>
      </c>
      <c r="B57" s="6">
        <v>1522.134</v>
      </c>
      <c r="D57" s="20"/>
    </row>
    <row r="58" spans="1:4" x14ac:dyDescent="0.25">
      <c r="A58" s="8">
        <v>2001</v>
      </c>
      <c r="B58" s="6">
        <v>1334.1020000000001</v>
      </c>
      <c r="D58" s="20"/>
    </row>
    <row r="59" spans="1:4" x14ac:dyDescent="0.25">
      <c r="A59" s="8">
        <v>2002</v>
      </c>
      <c r="B59" s="6">
        <v>1448.894</v>
      </c>
      <c r="D59" s="20"/>
    </row>
    <row r="60" spans="1:4" x14ac:dyDescent="0.25">
      <c r="A60" s="8">
        <v>2003</v>
      </c>
      <c r="B60" s="6">
        <v>1797.1279999999999</v>
      </c>
      <c r="D60" s="20"/>
    </row>
    <row r="61" spans="1:4" x14ac:dyDescent="0.25">
      <c r="A61" s="8">
        <v>2004</v>
      </c>
      <c r="B61" s="6">
        <v>1249.3679999999999</v>
      </c>
      <c r="D61" s="20"/>
    </row>
    <row r="62" spans="1:4" x14ac:dyDescent="0.25">
      <c r="A62" s="8">
        <v>2005</v>
      </c>
      <c r="B62" s="6">
        <v>1161.8030000000001</v>
      </c>
      <c r="D62" s="20"/>
    </row>
    <row r="63" spans="1:4" x14ac:dyDescent="0.25">
      <c r="A63" s="8">
        <v>2006</v>
      </c>
      <c r="B63" s="6">
        <v>1276.7460000000001</v>
      </c>
      <c r="D63" s="20"/>
    </row>
    <row r="64" spans="1:4" x14ac:dyDescent="0.25">
      <c r="A64" s="8">
        <v>2007</v>
      </c>
      <c r="B64" s="6">
        <v>1605.365</v>
      </c>
      <c r="D64" s="20"/>
    </row>
    <row r="65" spans="1:66" x14ac:dyDescent="0.25">
      <c r="A65" s="8">
        <v>2008</v>
      </c>
      <c r="B65" s="6">
        <v>1534.673</v>
      </c>
      <c r="D65" s="20"/>
    </row>
    <row r="66" spans="1:66" x14ac:dyDescent="0.25">
      <c r="A66" s="8">
        <v>2009</v>
      </c>
      <c r="B66" s="6">
        <v>1130.6949999999999</v>
      </c>
      <c r="D66" s="20"/>
    </row>
    <row r="67" spans="1:66" x14ac:dyDescent="0.25">
      <c r="A67" s="8">
        <v>2010</v>
      </c>
      <c r="B67" s="6">
        <v>1329.6479999999999</v>
      </c>
      <c r="D67" s="20"/>
    </row>
    <row r="68" spans="1:66" x14ac:dyDescent="0.25">
      <c r="A68" s="8">
        <v>2011</v>
      </c>
      <c r="B68" s="6">
        <v>952.46199999999999</v>
      </c>
      <c r="D68" s="20"/>
    </row>
    <row r="69" spans="1:66" x14ac:dyDescent="0.25">
      <c r="A69" s="8">
        <v>2012</v>
      </c>
      <c r="B69" s="6">
        <v>628.72500000000002</v>
      </c>
      <c r="D69" s="20"/>
    </row>
    <row r="70" spans="1:66" x14ac:dyDescent="0.25">
      <c r="A70" s="8">
        <v>2013</v>
      </c>
      <c r="B70" s="6">
        <v>627.096</v>
      </c>
      <c r="D70" s="20"/>
    </row>
    <row r="71" spans="1:66" x14ac:dyDescent="0.25">
      <c r="A71" s="8">
        <v>2014</v>
      </c>
      <c r="B71" s="6">
        <v>555.11800000000005</v>
      </c>
      <c r="D71" s="20"/>
    </row>
    <row r="72" spans="1:66" x14ac:dyDescent="0.25">
      <c r="A72" s="8">
        <v>2015</v>
      </c>
      <c r="B72" s="6">
        <v>387.24</v>
      </c>
      <c r="D72" s="20"/>
    </row>
    <row r="73" spans="1:66" x14ac:dyDescent="0.25">
      <c r="A73" s="8">
        <v>2016</v>
      </c>
      <c r="B73" s="6">
        <v>346.61599999999999</v>
      </c>
      <c r="D73" s="20"/>
    </row>
    <row r="74" spans="1:66" x14ac:dyDescent="0.25">
      <c r="A74" s="8">
        <v>2017</v>
      </c>
      <c r="B74" s="6">
        <v>321.06</v>
      </c>
      <c r="D74" s="20"/>
    </row>
    <row r="75" spans="1:66" x14ac:dyDescent="0.25">
      <c r="A75" s="8">
        <v>2018</v>
      </c>
      <c r="B75" s="6">
        <v>437.02</v>
      </c>
      <c r="D75" s="20"/>
    </row>
    <row r="76" spans="1:66" x14ac:dyDescent="0.25">
      <c r="A76" s="8">
        <v>2019</v>
      </c>
      <c r="B76" s="6">
        <v>413.42700000000002</v>
      </c>
      <c r="D76" s="20"/>
    </row>
    <row r="77" spans="1:66" x14ac:dyDescent="0.25">
      <c r="A77" s="8">
        <v>2020</v>
      </c>
      <c r="B77" s="6">
        <v>309.45400000000001</v>
      </c>
    </row>
    <row r="78" spans="1:66" s="4" customFormat="1" x14ac:dyDescent="0.25">
      <c r="A78" s="8">
        <v>2021</v>
      </c>
      <c r="B78" s="6">
        <v>499.15800000000002</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4" customFormat="1" x14ac:dyDescent="0.25">
      <c r="A79" s="8">
        <v>2022</v>
      </c>
      <c r="B79" s="6">
        <v>624.70600000000002</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row>
    <row r="80" spans="1:66" s="4" customFormat="1" x14ac:dyDescent="0.25">
      <c r="A80" s="8">
        <v>2023</v>
      </c>
      <c r="B80" s="6">
        <v>422.89600000000002</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row>
    <row r="82" spans="1:66" x14ac:dyDescent="0.25">
      <c r="B82" s="6"/>
    </row>
    <row r="83" spans="1:66" x14ac:dyDescent="0.25">
      <c r="B83" s="6"/>
    </row>
    <row r="84" spans="1:66" x14ac:dyDescent="0.25">
      <c r="B84" s="6"/>
    </row>
    <row r="85" spans="1:66" x14ac:dyDescent="0.25">
      <c r="B85" s="6"/>
    </row>
    <row r="86" spans="1:66" x14ac:dyDescent="0.25">
      <c r="B86" s="6"/>
    </row>
    <row r="87" spans="1:66" s="4" customFormat="1" x14ac:dyDescent="0.25">
      <c r="A87" s="2"/>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row>
    <row r="88" spans="1:66" s="4" customFormat="1" x14ac:dyDescent="0.25">
      <c r="A88" s="2"/>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row>
  </sheetData>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L88"/>
  <sheetViews>
    <sheetView zoomScale="83" zoomScaleNormal="70" workbookViewId="0">
      <pane xSplit="1" ySplit="1" topLeftCell="B39" activePane="bottomRight" state="frozen"/>
      <selection pane="topRight" activeCell="B1" sqref="B1"/>
      <selection pane="bottomLeft" activeCell="A2" sqref="A2"/>
      <selection pane="bottomRight" activeCell="H93" sqref="H93"/>
    </sheetView>
  </sheetViews>
  <sheetFormatPr baseColWidth="10" defaultColWidth="10.7109375" defaultRowHeight="15" x14ac:dyDescent="0.25"/>
  <cols>
    <col min="1" max="1" width="9.28515625" style="2" customWidth="1"/>
    <col min="2" max="2" width="20.7109375" style="6" customWidth="1"/>
    <col min="4" max="16384" width="10.7109375" style="1"/>
  </cols>
  <sheetData>
    <row r="1" spans="1:2" s="11" customFormat="1" x14ac:dyDescent="0.25">
      <c r="A1" s="10" t="s">
        <v>0</v>
      </c>
      <c r="B1" s="19" t="s">
        <v>1</v>
      </c>
    </row>
    <row r="2" spans="1:2" x14ac:dyDescent="0.25">
      <c r="A2" s="8">
        <v>1945</v>
      </c>
    </row>
    <row r="3" spans="1:2" x14ac:dyDescent="0.25">
      <c r="A3" s="8">
        <v>1946</v>
      </c>
    </row>
    <row r="4" spans="1:2" x14ac:dyDescent="0.25">
      <c r="A4" s="8">
        <v>1947</v>
      </c>
    </row>
    <row r="5" spans="1:2" x14ac:dyDescent="0.25">
      <c r="A5" s="8">
        <v>1948</v>
      </c>
    </row>
    <row r="6" spans="1:2" x14ac:dyDescent="0.25">
      <c r="A6" s="8">
        <v>1949</v>
      </c>
    </row>
    <row r="7" spans="1:2" x14ac:dyDescent="0.25">
      <c r="A7" s="8">
        <v>1950</v>
      </c>
    </row>
    <row r="8" spans="1:2" x14ac:dyDescent="0.25">
      <c r="A8" s="8">
        <v>1951</v>
      </c>
    </row>
    <row r="9" spans="1:2" x14ac:dyDescent="0.25">
      <c r="A9" s="8">
        <v>1952</v>
      </c>
    </row>
    <row r="10" spans="1:2" x14ac:dyDescent="0.25">
      <c r="A10" s="8">
        <v>1953</v>
      </c>
    </row>
    <row r="11" spans="1:2" x14ac:dyDescent="0.25">
      <c r="A11" s="8">
        <v>1954</v>
      </c>
    </row>
    <row r="12" spans="1:2" x14ac:dyDescent="0.25">
      <c r="A12" s="8">
        <v>1955</v>
      </c>
    </row>
    <row r="13" spans="1:2" x14ac:dyDescent="0.25">
      <c r="A13" s="8">
        <v>1956</v>
      </c>
    </row>
    <row r="14" spans="1:2" x14ac:dyDescent="0.25">
      <c r="A14" s="8">
        <v>1957</v>
      </c>
    </row>
    <row r="15" spans="1:2" x14ac:dyDescent="0.25">
      <c r="A15" s="8">
        <v>1958</v>
      </c>
    </row>
    <row r="16" spans="1:2" x14ac:dyDescent="0.25">
      <c r="A16" s="8">
        <v>1959</v>
      </c>
    </row>
    <row r="17" spans="1:1" x14ac:dyDescent="0.25">
      <c r="A17" s="8">
        <v>1960</v>
      </c>
    </row>
    <row r="18" spans="1:1" x14ac:dyDescent="0.25">
      <c r="A18" s="8">
        <v>1961</v>
      </c>
    </row>
    <row r="19" spans="1:1" x14ac:dyDescent="0.25">
      <c r="A19" s="8">
        <v>1962</v>
      </c>
    </row>
    <row r="20" spans="1:1" x14ac:dyDescent="0.25">
      <c r="A20" s="8">
        <v>1963</v>
      </c>
    </row>
    <row r="21" spans="1:1" x14ac:dyDescent="0.25">
      <c r="A21" s="8">
        <v>1964</v>
      </c>
    </row>
    <row r="22" spans="1:1" x14ac:dyDescent="0.25">
      <c r="A22" s="8">
        <v>1965</v>
      </c>
    </row>
    <row r="23" spans="1:1" x14ac:dyDescent="0.25">
      <c r="A23" s="8">
        <v>1966</v>
      </c>
    </row>
    <row r="24" spans="1:1" x14ac:dyDescent="0.25">
      <c r="A24" s="8">
        <v>1967</v>
      </c>
    </row>
    <row r="25" spans="1:1" x14ac:dyDescent="0.25">
      <c r="A25" s="8">
        <v>1968</v>
      </c>
    </row>
    <row r="26" spans="1:1" x14ac:dyDescent="0.25">
      <c r="A26" s="8">
        <v>1969</v>
      </c>
    </row>
    <row r="27" spans="1:1" x14ac:dyDescent="0.25">
      <c r="A27" s="8">
        <v>1970</v>
      </c>
    </row>
    <row r="28" spans="1:1" x14ac:dyDescent="0.25">
      <c r="A28" s="8">
        <v>1971</v>
      </c>
    </row>
    <row r="29" spans="1:1" x14ac:dyDescent="0.25">
      <c r="A29" s="8">
        <v>1972</v>
      </c>
    </row>
    <row r="30" spans="1:1" x14ac:dyDescent="0.25">
      <c r="A30" s="8">
        <v>1973</v>
      </c>
    </row>
    <row r="31" spans="1:1" x14ac:dyDescent="0.25">
      <c r="A31" s="8">
        <v>1974</v>
      </c>
    </row>
    <row r="32" spans="1:1" x14ac:dyDescent="0.25">
      <c r="A32" s="8">
        <v>1975</v>
      </c>
    </row>
    <row r="33" spans="1:2" x14ac:dyDescent="0.25">
      <c r="A33" s="8">
        <v>1976</v>
      </c>
    </row>
    <row r="34" spans="1:2" x14ac:dyDescent="0.25">
      <c r="A34" s="8">
        <v>1977</v>
      </c>
    </row>
    <row r="35" spans="1:2" x14ac:dyDescent="0.25">
      <c r="A35" s="8">
        <v>1978</v>
      </c>
    </row>
    <row r="36" spans="1:2" x14ac:dyDescent="0.25">
      <c r="A36" s="8">
        <v>1979</v>
      </c>
    </row>
    <row r="37" spans="1:2" x14ac:dyDescent="0.25">
      <c r="A37" s="8">
        <v>1980</v>
      </c>
    </row>
    <row r="38" spans="1:2" x14ac:dyDescent="0.25">
      <c r="A38" s="8">
        <v>1981</v>
      </c>
    </row>
    <row r="39" spans="1:2" x14ac:dyDescent="0.25">
      <c r="A39" s="8">
        <v>1982</v>
      </c>
    </row>
    <row r="40" spans="1:2" x14ac:dyDescent="0.25">
      <c r="A40" s="8">
        <v>1983</v>
      </c>
    </row>
    <row r="41" spans="1:2" x14ac:dyDescent="0.25">
      <c r="A41" s="8">
        <v>1984</v>
      </c>
    </row>
    <row r="42" spans="1:2" x14ac:dyDescent="0.25">
      <c r="A42" s="8">
        <v>1985</v>
      </c>
    </row>
    <row r="43" spans="1:2" x14ac:dyDescent="0.25">
      <c r="A43" s="8">
        <v>1986</v>
      </c>
    </row>
    <row r="44" spans="1:2" x14ac:dyDescent="0.25">
      <c r="A44" s="8">
        <v>1987</v>
      </c>
    </row>
    <row r="45" spans="1:2" x14ac:dyDescent="0.25">
      <c r="A45" s="8">
        <v>1988</v>
      </c>
    </row>
    <row r="46" spans="1:2" x14ac:dyDescent="0.25">
      <c r="A46" s="8">
        <v>1989</v>
      </c>
      <c r="B46" s="6">
        <v>555</v>
      </c>
    </row>
    <row r="47" spans="1:2" x14ac:dyDescent="0.25">
      <c r="A47" s="8">
        <v>1990</v>
      </c>
      <c r="B47" s="6">
        <v>673.33333333333337</v>
      </c>
    </row>
    <row r="48" spans="1:2" x14ac:dyDescent="0.25">
      <c r="A48" s="8">
        <v>1991</v>
      </c>
      <c r="B48" s="6">
        <v>509.33333333333331</v>
      </c>
    </row>
    <row r="49" spans="1:4" x14ac:dyDescent="0.25">
      <c r="A49" s="8">
        <v>1992</v>
      </c>
      <c r="B49" s="6">
        <v>506</v>
      </c>
    </row>
    <row r="50" spans="1:4" x14ac:dyDescent="0.25">
      <c r="A50" s="8">
        <v>1993</v>
      </c>
      <c r="B50" s="6">
        <v>614.66666666666663</v>
      </c>
    </row>
    <row r="51" spans="1:4" x14ac:dyDescent="0.25">
      <c r="A51" s="8">
        <v>1994</v>
      </c>
    </row>
    <row r="52" spans="1:4" x14ac:dyDescent="0.25">
      <c r="A52" s="8">
        <v>1995</v>
      </c>
      <c r="B52" s="7">
        <v>685.298</v>
      </c>
      <c r="D52" s="45"/>
    </row>
    <row r="53" spans="1:4" x14ac:dyDescent="0.25">
      <c r="A53" s="8">
        <v>1996</v>
      </c>
      <c r="B53" s="7">
        <v>765.65300000000002</v>
      </c>
      <c r="D53" s="45"/>
    </row>
    <row r="54" spans="1:4" x14ac:dyDescent="0.25">
      <c r="A54" s="8">
        <v>1997</v>
      </c>
      <c r="B54" s="7">
        <v>654.58600000000001</v>
      </c>
      <c r="D54" s="45"/>
    </row>
    <row r="55" spans="1:4" x14ac:dyDescent="0.25">
      <c r="A55" s="8">
        <v>1998</v>
      </c>
      <c r="B55" s="7">
        <v>469.65499999999997</v>
      </c>
      <c r="D55" s="45"/>
    </row>
    <row r="56" spans="1:4" x14ac:dyDescent="0.25">
      <c r="A56" s="8">
        <v>1999</v>
      </c>
      <c r="B56" s="7">
        <v>281.13200000000001</v>
      </c>
      <c r="D56" s="45"/>
    </row>
    <row r="57" spans="1:4" x14ac:dyDescent="0.25">
      <c r="A57" s="8">
        <v>2000</v>
      </c>
      <c r="B57" s="7">
        <v>268.596</v>
      </c>
      <c r="D57" s="45"/>
    </row>
    <row r="58" spans="1:4" x14ac:dyDescent="0.25">
      <c r="A58" s="8">
        <v>2001</v>
      </c>
      <c r="B58" s="7">
        <v>169.071</v>
      </c>
      <c r="D58" s="45"/>
    </row>
    <row r="59" spans="1:4" x14ac:dyDescent="0.25">
      <c r="A59" s="8">
        <v>2002</v>
      </c>
      <c r="B59" s="7">
        <v>284.79199999999997</v>
      </c>
      <c r="D59" s="45"/>
    </row>
    <row r="60" spans="1:4" x14ac:dyDescent="0.25">
      <c r="A60" s="8">
        <v>2003</v>
      </c>
      <c r="B60" s="7">
        <v>317.03800000000001</v>
      </c>
      <c r="D60" s="45"/>
    </row>
    <row r="61" spans="1:4" x14ac:dyDescent="0.25">
      <c r="A61" s="8">
        <v>2004</v>
      </c>
      <c r="B61" s="7">
        <v>320.613</v>
      </c>
      <c r="D61" s="45"/>
    </row>
    <row r="62" spans="1:4" x14ac:dyDescent="0.25">
      <c r="A62" s="8">
        <v>2005</v>
      </c>
      <c r="B62" s="7">
        <v>459.02699999999999</v>
      </c>
      <c r="D62" s="45"/>
    </row>
    <row r="63" spans="1:4" x14ac:dyDescent="0.25">
      <c r="A63" s="8">
        <v>2006</v>
      </c>
      <c r="B63" s="7">
        <v>497.476</v>
      </c>
      <c r="D63" s="45"/>
    </row>
    <row r="64" spans="1:4" x14ac:dyDescent="0.25">
      <c r="A64" s="8">
        <v>2007</v>
      </c>
      <c r="B64" s="7">
        <v>459.43</v>
      </c>
      <c r="D64" s="45"/>
    </row>
    <row r="65" spans="1:64" x14ac:dyDescent="0.25">
      <c r="A65" s="8">
        <v>2008</v>
      </c>
      <c r="B65" s="7">
        <v>482.06700000000001</v>
      </c>
      <c r="D65" s="45"/>
    </row>
    <row r="66" spans="1:64" x14ac:dyDescent="0.25">
      <c r="A66" s="8">
        <v>2009</v>
      </c>
      <c r="B66" s="7">
        <v>415.94900000000001</v>
      </c>
      <c r="D66" s="45"/>
    </row>
    <row r="67" spans="1:64" x14ac:dyDescent="0.25">
      <c r="A67" s="8">
        <v>2010</v>
      </c>
      <c r="B67" s="7">
        <v>492.572</v>
      </c>
      <c r="D67" s="45"/>
    </row>
    <row r="68" spans="1:64" x14ac:dyDescent="0.25">
      <c r="A68" s="8">
        <v>2011</v>
      </c>
      <c r="B68" s="7">
        <v>405.72899999999998</v>
      </c>
      <c r="D68" s="45"/>
    </row>
    <row r="69" spans="1:64" x14ac:dyDescent="0.25">
      <c r="A69" s="8">
        <v>2012</v>
      </c>
      <c r="B69" s="7">
        <v>429.05399999999997</v>
      </c>
      <c r="D69" s="45"/>
    </row>
    <row r="70" spans="1:64" x14ac:dyDescent="0.25">
      <c r="A70" s="8">
        <v>2013</v>
      </c>
      <c r="B70" s="7">
        <v>462.90199999999999</v>
      </c>
      <c r="D70" s="45"/>
    </row>
    <row r="71" spans="1:64" x14ac:dyDescent="0.25">
      <c r="A71" s="8">
        <v>2014</v>
      </c>
      <c r="B71" s="7">
        <v>498.60500000000002</v>
      </c>
      <c r="D71" s="45"/>
    </row>
    <row r="72" spans="1:64" x14ac:dyDescent="0.25">
      <c r="A72" s="8">
        <v>2015</v>
      </c>
      <c r="B72" s="7">
        <v>476.73</v>
      </c>
      <c r="D72" s="45"/>
    </row>
    <row r="73" spans="1:64" x14ac:dyDescent="0.25">
      <c r="A73" s="8">
        <v>2016</v>
      </c>
      <c r="B73" s="7">
        <v>507.42700000000002</v>
      </c>
      <c r="D73" s="45"/>
    </row>
    <row r="74" spans="1:64" x14ac:dyDescent="0.25">
      <c r="A74" s="8">
        <v>2017</v>
      </c>
      <c r="B74" s="7">
        <v>630.41999999999996</v>
      </c>
      <c r="D74" s="45"/>
    </row>
    <row r="75" spans="1:64" x14ac:dyDescent="0.25">
      <c r="A75" s="8">
        <v>2018</v>
      </c>
      <c r="B75" s="7">
        <v>651.88099999999997</v>
      </c>
      <c r="D75" s="45"/>
    </row>
    <row r="76" spans="1:64" x14ac:dyDescent="0.25">
      <c r="A76" s="8">
        <v>2019</v>
      </c>
      <c r="B76" s="7">
        <v>820.09100000000001</v>
      </c>
      <c r="D76" s="45"/>
    </row>
    <row r="77" spans="1:64" x14ac:dyDescent="0.25">
      <c r="A77" s="8">
        <v>2020</v>
      </c>
      <c r="B77" s="7">
        <v>818.72799999999995</v>
      </c>
    </row>
    <row r="78" spans="1:64" s="4" customFormat="1" x14ac:dyDescent="0.25">
      <c r="A78" s="8">
        <v>2021</v>
      </c>
      <c r="B78" s="7">
        <v>965.27300000000002</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row>
    <row r="79" spans="1:64" s="4" customFormat="1" x14ac:dyDescent="0.25">
      <c r="A79" s="8">
        <v>2022</v>
      </c>
      <c r="B79" s="7">
        <v>1033.6659999999999</v>
      </c>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row>
    <row r="80" spans="1:64" s="4" customFormat="1" x14ac:dyDescent="0.25">
      <c r="A80" s="8">
        <v>2023</v>
      </c>
      <c r="B80" s="7">
        <v>824.68100000000004</v>
      </c>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row>
    <row r="87" spans="1:64" s="4" customFormat="1" x14ac:dyDescent="0.25">
      <c r="A87" s="2"/>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row>
    <row r="88" spans="1:64" s="4" customFormat="1" x14ac:dyDescent="0.25">
      <c r="A88" s="2"/>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row>
  </sheetData>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80"/>
  <sheetViews>
    <sheetView workbookViewId="0">
      <selection activeCell="E65" sqref="E64:E65"/>
    </sheetView>
  </sheetViews>
  <sheetFormatPr baseColWidth="10" defaultColWidth="9.140625" defaultRowHeight="15" x14ac:dyDescent="0.25"/>
  <cols>
    <col min="1" max="1" width="9.28515625" style="2" customWidth="1"/>
    <col min="2" max="2" width="17" customWidth="1"/>
  </cols>
  <sheetData>
    <row r="1" spans="1:6" x14ac:dyDescent="0.25">
      <c r="A1" s="9" t="s">
        <v>0</v>
      </c>
      <c r="B1" s="5" t="s">
        <v>13</v>
      </c>
    </row>
    <row r="2" spans="1:6" x14ac:dyDescent="0.25">
      <c r="A2" s="8">
        <v>1945</v>
      </c>
      <c r="B2" s="23">
        <v>39660</v>
      </c>
    </row>
    <row r="3" spans="1:6" x14ac:dyDescent="0.25">
      <c r="A3" s="8">
        <v>1946</v>
      </c>
      <c r="B3" s="23">
        <v>40287</v>
      </c>
    </row>
    <row r="4" spans="1:6" x14ac:dyDescent="0.25">
      <c r="A4" s="8">
        <v>1947</v>
      </c>
      <c r="B4" s="23">
        <v>40679</v>
      </c>
    </row>
    <row r="5" spans="1:6" x14ac:dyDescent="0.25">
      <c r="A5" s="8">
        <v>1948</v>
      </c>
      <c r="B5" s="23">
        <v>41112</v>
      </c>
    </row>
    <row r="6" spans="1:6" x14ac:dyDescent="0.25">
      <c r="A6" s="8">
        <v>1949</v>
      </c>
      <c r="B6" s="23">
        <v>41480</v>
      </c>
    </row>
    <row r="7" spans="1:6" x14ac:dyDescent="0.25">
      <c r="A7" s="8">
        <v>1950</v>
      </c>
      <c r="B7" s="23">
        <v>41647.258000000002</v>
      </c>
      <c r="F7" s="22"/>
    </row>
    <row r="8" spans="1:6" x14ac:dyDescent="0.25">
      <c r="A8" s="8">
        <v>1951</v>
      </c>
      <c r="B8" s="23">
        <v>42010.088000000003</v>
      </c>
      <c r="E8" s="22"/>
      <c r="F8" s="22"/>
    </row>
    <row r="9" spans="1:6" x14ac:dyDescent="0.25">
      <c r="A9" s="8">
        <v>1952</v>
      </c>
      <c r="B9" s="23">
        <v>42300.981</v>
      </c>
      <c r="E9" s="22"/>
      <c r="F9" s="22"/>
    </row>
    <row r="10" spans="1:6" x14ac:dyDescent="0.25">
      <c r="A10" s="8">
        <v>1953</v>
      </c>
      <c r="B10" s="23">
        <v>42618.353999999999</v>
      </c>
      <c r="E10" s="22"/>
      <c r="F10" s="22"/>
    </row>
    <row r="11" spans="1:6" x14ac:dyDescent="0.25">
      <c r="A11" s="8">
        <v>1954</v>
      </c>
      <c r="B11" s="23">
        <v>42885.137999999999</v>
      </c>
      <c r="E11" s="22"/>
      <c r="F11" s="22"/>
    </row>
    <row r="12" spans="1:6" x14ac:dyDescent="0.25">
      <c r="A12" s="8">
        <v>1955</v>
      </c>
      <c r="B12" s="23">
        <v>43227.872000000003</v>
      </c>
      <c r="E12" s="22"/>
      <c r="F12" s="22"/>
    </row>
    <row r="13" spans="1:6" x14ac:dyDescent="0.25">
      <c r="A13" s="8">
        <v>1956</v>
      </c>
      <c r="B13" s="23">
        <v>43627.466999999997</v>
      </c>
      <c r="E13" s="22"/>
      <c r="F13" s="22"/>
    </row>
    <row r="14" spans="1:6" x14ac:dyDescent="0.25">
      <c r="A14" s="8">
        <v>1957</v>
      </c>
      <c r="B14" s="23">
        <v>44058.682999999997</v>
      </c>
      <c r="E14" s="22"/>
      <c r="F14" s="22"/>
    </row>
    <row r="15" spans="1:6" x14ac:dyDescent="0.25">
      <c r="A15" s="8">
        <v>1958</v>
      </c>
      <c r="B15" s="23">
        <v>44563.042999999998</v>
      </c>
      <c r="E15" s="22"/>
      <c r="F15" s="22"/>
    </row>
    <row r="16" spans="1:6" x14ac:dyDescent="0.25">
      <c r="A16" s="8">
        <v>1959</v>
      </c>
      <c r="B16" s="23">
        <v>45014.661999999997</v>
      </c>
      <c r="E16" s="22"/>
      <c r="F16" s="22"/>
    </row>
    <row r="17" spans="1:6" x14ac:dyDescent="0.25">
      <c r="A17" s="8">
        <v>1960</v>
      </c>
      <c r="B17" s="23">
        <v>45684</v>
      </c>
      <c r="E17" s="22"/>
      <c r="F17" s="22"/>
    </row>
    <row r="18" spans="1:6" x14ac:dyDescent="0.25">
      <c r="A18" s="8">
        <v>1961</v>
      </c>
      <c r="B18" s="23">
        <v>46163</v>
      </c>
      <c r="E18" s="22"/>
      <c r="F18" s="22"/>
    </row>
    <row r="19" spans="1:6" x14ac:dyDescent="0.25">
      <c r="A19" s="8">
        <v>1962</v>
      </c>
      <c r="B19" s="23">
        <v>46998</v>
      </c>
      <c r="E19" s="22"/>
      <c r="F19" s="22"/>
    </row>
    <row r="20" spans="1:6" x14ac:dyDescent="0.25">
      <c r="A20" s="8">
        <v>1963</v>
      </c>
      <c r="B20" s="23">
        <v>47816</v>
      </c>
      <c r="E20" s="22"/>
      <c r="F20" s="22"/>
    </row>
    <row r="21" spans="1:6" x14ac:dyDescent="0.25">
      <c r="A21" s="8">
        <v>1964</v>
      </c>
      <c r="B21" s="23">
        <v>48310</v>
      </c>
      <c r="E21" s="22"/>
      <c r="F21" s="22"/>
    </row>
    <row r="22" spans="1:6" x14ac:dyDescent="0.25">
      <c r="A22" s="8">
        <v>1965</v>
      </c>
      <c r="B22" s="23">
        <v>48758</v>
      </c>
    </row>
    <row r="23" spans="1:6" x14ac:dyDescent="0.25">
      <c r="A23" s="8">
        <v>1966</v>
      </c>
      <c r="B23" s="23">
        <v>49164</v>
      </c>
    </row>
    <row r="24" spans="1:6" x14ac:dyDescent="0.25">
      <c r="A24" s="8">
        <v>1967</v>
      </c>
      <c r="B24" s="23">
        <v>49548</v>
      </c>
    </row>
    <row r="25" spans="1:6" x14ac:dyDescent="0.25">
      <c r="A25" s="8">
        <v>1968</v>
      </c>
      <c r="B25" s="23">
        <v>49915</v>
      </c>
    </row>
    <row r="26" spans="1:6" x14ac:dyDescent="0.25">
      <c r="A26" s="8">
        <v>1969</v>
      </c>
      <c r="B26" s="23">
        <v>50318</v>
      </c>
    </row>
    <row r="27" spans="1:6" x14ac:dyDescent="0.25">
      <c r="A27" s="8">
        <v>1970</v>
      </c>
      <c r="B27" s="23">
        <v>50772</v>
      </c>
    </row>
    <row r="28" spans="1:6" x14ac:dyDescent="0.25">
      <c r="A28" s="8">
        <v>1971</v>
      </c>
      <c r="B28" s="23">
        <v>51251</v>
      </c>
    </row>
    <row r="29" spans="1:6" x14ac:dyDescent="0.25">
      <c r="A29" s="8">
        <v>1972</v>
      </c>
      <c r="B29" s="23">
        <v>51701</v>
      </c>
    </row>
    <row r="30" spans="1:6" x14ac:dyDescent="0.25">
      <c r="A30" s="8">
        <v>1973</v>
      </c>
      <c r="B30" s="23">
        <v>52118</v>
      </c>
    </row>
    <row r="31" spans="1:6" x14ac:dyDescent="0.25">
      <c r="A31" s="8">
        <v>1974</v>
      </c>
      <c r="B31" s="23">
        <v>52460</v>
      </c>
    </row>
    <row r="32" spans="1:6" x14ac:dyDescent="0.25">
      <c r="A32" s="8">
        <v>1975</v>
      </c>
      <c r="B32" s="23">
        <v>52699</v>
      </c>
    </row>
    <row r="33" spans="1:2" x14ac:dyDescent="0.25">
      <c r="A33" s="8">
        <v>1976</v>
      </c>
      <c r="B33" s="23">
        <v>52909</v>
      </c>
    </row>
    <row r="34" spans="1:2" x14ac:dyDescent="0.25">
      <c r="A34" s="8">
        <v>1977</v>
      </c>
      <c r="B34" s="23">
        <v>53145</v>
      </c>
    </row>
    <row r="35" spans="1:2" x14ac:dyDescent="0.25">
      <c r="A35" s="8">
        <v>1978</v>
      </c>
      <c r="B35" s="23">
        <v>53376</v>
      </c>
    </row>
    <row r="36" spans="1:2" x14ac:dyDescent="0.25">
      <c r="A36" s="8">
        <v>1979</v>
      </c>
      <c r="B36" s="23">
        <v>53606</v>
      </c>
    </row>
    <row r="37" spans="1:2" x14ac:dyDescent="0.25">
      <c r="A37" s="8">
        <v>1980</v>
      </c>
      <c r="B37" s="23">
        <v>53880</v>
      </c>
    </row>
    <row r="38" spans="1:2" x14ac:dyDescent="0.25">
      <c r="A38" s="8">
        <v>1981</v>
      </c>
      <c r="B38" s="23">
        <v>54182</v>
      </c>
    </row>
    <row r="39" spans="1:2" x14ac:dyDescent="0.25">
      <c r="A39" s="8">
        <v>1982</v>
      </c>
      <c r="B39" s="23">
        <v>54492</v>
      </c>
    </row>
    <row r="40" spans="1:2" x14ac:dyDescent="0.25">
      <c r="A40" s="8">
        <v>1983</v>
      </c>
      <c r="B40" s="23">
        <v>54772</v>
      </c>
    </row>
    <row r="41" spans="1:2" x14ac:dyDescent="0.25">
      <c r="A41" s="8">
        <v>1984</v>
      </c>
      <c r="B41" s="23">
        <v>55026</v>
      </c>
    </row>
    <row r="42" spans="1:2" x14ac:dyDescent="0.25">
      <c r="A42" s="8">
        <v>1985</v>
      </c>
      <c r="B42" s="23">
        <v>55284</v>
      </c>
    </row>
    <row r="43" spans="1:2" x14ac:dyDescent="0.25">
      <c r="A43" s="8">
        <v>1986</v>
      </c>
      <c r="B43" s="23">
        <v>55547</v>
      </c>
    </row>
    <row r="44" spans="1:2" x14ac:dyDescent="0.25">
      <c r="A44" s="8">
        <v>1987</v>
      </c>
      <c r="B44" s="23">
        <v>55824</v>
      </c>
    </row>
    <row r="45" spans="1:2" x14ac:dyDescent="0.25">
      <c r="A45" s="8">
        <v>1988</v>
      </c>
      <c r="B45" s="23">
        <v>56118</v>
      </c>
    </row>
    <row r="46" spans="1:2" x14ac:dyDescent="0.25">
      <c r="A46" s="8">
        <v>1989</v>
      </c>
      <c r="B46" s="23">
        <v>56423</v>
      </c>
    </row>
    <row r="47" spans="1:2" x14ac:dyDescent="0.25">
      <c r="A47" s="8">
        <v>1990</v>
      </c>
      <c r="B47" s="23">
        <v>57996.400999999998</v>
      </c>
    </row>
    <row r="48" spans="1:2" x14ac:dyDescent="0.25">
      <c r="A48" s="8">
        <v>1991</v>
      </c>
      <c r="B48" s="23">
        <v>58280.135000000002</v>
      </c>
    </row>
    <row r="49" spans="1:2" x14ac:dyDescent="0.25">
      <c r="A49" s="8">
        <v>1992</v>
      </c>
      <c r="B49" s="23">
        <v>58571.237000000001</v>
      </c>
    </row>
    <row r="50" spans="1:2" x14ac:dyDescent="0.25">
      <c r="A50" s="8">
        <v>1993</v>
      </c>
      <c r="B50" s="23">
        <v>58852.002</v>
      </c>
    </row>
    <row r="51" spans="1:2" x14ac:dyDescent="0.25">
      <c r="A51" s="8">
        <v>1994</v>
      </c>
      <c r="B51" s="23">
        <v>59070.076999999997</v>
      </c>
    </row>
    <row r="52" spans="1:2" x14ac:dyDescent="0.25">
      <c r="A52" s="8">
        <v>1995</v>
      </c>
      <c r="B52" s="23">
        <v>59280.576999999997</v>
      </c>
    </row>
    <row r="53" spans="1:2" x14ac:dyDescent="0.25">
      <c r="A53" s="8">
        <v>1996</v>
      </c>
      <c r="B53" s="23">
        <v>59487.413</v>
      </c>
    </row>
    <row r="54" spans="1:2" x14ac:dyDescent="0.25">
      <c r="A54" s="8">
        <v>1997</v>
      </c>
      <c r="B54" s="23">
        <v>59691.177000000003</v>
      </c>
    </row>
    <row r="55" spans="1:2" x14ac:dyDescent="0.25">
      <c r="A55" s="8">
        <v>1998</v>
      </c>
      <c r="B55" s="23">
        <v>59899.347000000002</v>
      </c>
    </row>
    <row r="56" spans="1:2" x14ac:dyDescent="0.25">
      <c r="A56" s="8">
        <v>1999</v>
      </c>
      <c r="B56" s="23">
        <v>60122.665000000001</v>
      </c>
    </row>
    <row r="57" spans="1:2" x14ac:dyDescent="0.25">
      <c r="A57" s="8">
        <v>2000</v>
      </c>
      <c r="B57" s="23">
        <v>60508.15</v>
      </c>
    </row>
    <row r="58" spans="1:2" x14ac:dyDescent="0.25">
      <c r="A58" s="8">
        <v>2001</v>
      </c>
      <c r="B58" s="23">
        <v>60941.41</v>
      </c>
    </row>
    <row r="59" spans="1:2" x14ac:dyDescent="0.25">
      <c r="A59" s="8">
        <v>2002</v>
      </c>
      <c r="B59" s="23">
        <v>61385.07</v>
      </c>
    </row>
    <row r="60" spans="1:2" x14ac:dyDescent="0.25">
      <c r="A60" s="8">
        <v>2003</v>
      </c>
      <c r="B60" s="23">
        <v>61824.03</v>
      </c>
    </row>
    <row r="61" spans="1:2" x14ac:dyDescent="0.25">
      <c r="A61" s="8">
        <v>2004</v>
      </c>
      <c r="B61" s="23">
        <v>62251.061999999998</v>
      </c>
    </row>
    <row r="62" spans="1:2" x14ac:dyDescent="0.25">
      <c r="A62" s="8">
        <v>2005</v>
      </c>
      <c r="B62" s="23">
        <v>62730.536999999997</v>
      </c>
    </row>
    <row r="63" spans="1:2" x14ac:dyDescent="0.25">
      <c r="A63" s="8">
        <v>2006</v>
      </c>
      <c r="B63" s="23">
        <v>63186.116999999998</v>
      </c>
    </row>
    <row r="64" spans="1:2" x14ac:dyDescent="0.25">
      <c r="A64" s="8">
        <v>2007</v>
      </c>
      <c r="B64" s="23">
        <v>63600.69</v>
      </c>
    </row>
    <row r="65" spans="1:2" x14ac:dyDescent="0.25">
      <c r="A65" s="8">
        <v>2008</v>
      </c>
      <c r="B65" s="23">
        <v>63961.858999999997</v>
      </c>
    </row>
    <row r="66" spans="1:2" x14ac:dyDescent="0.25">
      <c r="A66" s="8">
        <v>2009</v>
      </c>
      <c r="B66" s="23">
        <v>64304.5</v>
      </c>
    </row>
    <row r="67" spans="1:2" x14ac:dyDescent="0.25">
      <c r="A67" s="8">
        <v>2010</v>
      </c>
      <c r="B67" s="23">
        <v>64612.938999999998</v>
      </c>
    </row>
    <row r="68" spans="1:2" x14ac:dyDescent="0.25">
      <c r="A68" s="8">
        <v>2011</v>
      </c>
      <c r="B68" s="23">
        <v>64933.4</v>
      </c>
    </row>
    <row r="69" spans="1:2" x14ac:dyDescent="0.25">
      <c r="A69" s="8">
        <v>2012</v>
      </c>
      <c r="B69" s="23">
        <v>65241.241000000002</v>
      </c>
    </row>
    <row r="70" spans="1:2" x14ac:dyDescent="0.25">
      <c r="A70" s="8">
        <v>2013</v>
      </c>
      <c r="B70" s="23">
        <v>65564.755999999994</v>
      </c>
    </row>
    <row r="71" spans="1:2" x14ac:dyDescent="0.25">
      <c r="A71" s="8">
        <v>2014</v>
      </c>
      <c r="B71" s="23">
        <v>66130.873000000007</v>
      </c>
    </row>
    <row r="72" spans="1:2" x14ac:dyDescent="0.25">
      <c r="A72" s="8">
        <v>2015</v>
      </c>
      <c r="B72" s="23">
        <v>66422.468999999997</v>
      </c>
    </row>
    <row r="73" spans="1:2" x14ac:dyDescent="0.25">
      <c r="A73" s="8">
        <v>2016</v>
      </c>
      <c r="B73" s="23">
        <v>66602.645000000004</v>
      </c>
    </row>
    <row r="74" spans="1:2" x14ac:dyDescent="0.25">
      <c r="A74" s="8">
        <v>2017</v>
      </c>
      <c r="B74" s="23">
        <v>66774.482000000004</v>
      </c>
    </row>
    <row r="75" spans="1:2" x14ac:dyDescent="0.25">
      <c r="A75" s="8">
        <v>2018</v>
      </c>
      <c r="B75" s="23">
        <v>66992.159</v>
      </c>
    </row>
    <row r="76" spans="1:2" x14ac:dyDescent="0.25">
      <c r="A76" s="8">
        <v>2019</v>
      </c>
      <c r="B76" s="23">
        <v>67257.982000000004</v>
      </c>
    </row>
    <row r="77" spans="1:2" x14ac:dyDescent="0.25">
      <c r="A77" s="8">
        <v>2020</v>
      </c>
      <c r="B77" s="23">
        <v>67441.850000000006</v>
      </c>
    </row>
    <row r="78" spans="1:2" x14ac:dyDescent="0.25">
      <c r="A78" s="8">
        <v>2021</v>
      </c>
      <c r="B78" s="23">
        <v>67697.091</v>
      </c>
    </row>
    <row r="79" spans="1:2" x14ac:dyDescent="0.25">
      <c r="A79" s="8">
        <v>2022</v>
      </c>
      <c r="B79" s="23">
        <v>67926.558000000005</v>
      </c>
    </row>
    <row r="80" spans="1:2" x14ac:dyDescent="0.25">
      <c r="A80" s="8">
        <v>2023</v>
      </c>
      <c r="B80" s="23">
        <v>68143.433000000005</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88"/>
  <sheetViews>
    <sheetView zoomScale="70" zoomScaleNormal="70" workbookViewId="0">
      <pane xSplit="1" ySplit="1" topLeftCell="B2" activePane="bottomRight" state="frozen"/>
      <selection pane="topRight" activeCell="B1" sqref="B1"/>
      <selection pane="bottomLeft" activeCell="A2" sqref="A2"/>
      <selection pane="bottomRight" activeCell="Q63" sqref="Q63"/>
    </sheetView>
  </sheetViews>
  <sheetFormatPr baseColWidth="10" defaultColWidth="10.7109375" defaultRowHeight="15" x14ac:dyDescent="0.25"/>
  <cols>
    <col min="1" max="1" width="12.28515625" style="2" customWidth="1"/>
    <col min="2" max="2" width="26.42578125" style="4" customWidth="1"/>
    <col min="3" max="4" width="22.28515625" style="1" customWidth="1"/>
    <col min="5" max="16384" width="10.7109375" style="1"/>
  </cols>
  <sheetData>
    <row r="1" spans="1:4" s="3" customFormat="1" x14ac:dyDescent="0.25">
      <c r="A1" s="9" t="s">
        <v>0</v>
      </c>
      <c r="B1" s="5" t="s">
        <v>70</v>
      </c>
      <c r="C1" s="5" t="s">
        <v>73</v>
      </c>
      <c r="D1" s="5" t="s">
        <v>74</v>
      </c>
    </row>
    <row r="2" spans="1:4" x14ac:dyDescent="0.25">
      <c r="A2" s="8">
        <v>1945</v>
      </c>
      <c r="B2" s="7"/>
    </row>
    <row r="3" spans="1:4" x14ac:dyDescent="0.25">
      <c r="A3" s="8">
        <v>1946</v>
      </c>
      <c r="B3" s="1"/>
    </row>
    <row r="4" spans="1:4" x14ac:dyDescent="0.25">
      <c r="A4" s="8">
        <v>1947</v>
      </c>
      <c r="B4" s="7">
        <f>2*4</f>
        <v>8</v>
      </c>
      <c r="C4" s="7">
        <f>2*3</f>
        <v>6</v>
      </c>
      <c r="D4" s="7">
        <f>2*5.5</f>
        <v>11</v>
      </c>
    </row>
    <row r="5" spans="1:4" x14ac:dyDescent="0.25">
      <c r="A5" s="8">
        <v>1948</v>
      </c>
      <c r="B5" s="7"/>
      <c r="C5" s="7"/>
      <c r="D5" s="7"/>
    </row>
    <row r="6" spans="1:4" x14ac:dyDescent="0.25">
      <c r="A6" s="8">
        <v>1949</v>
      </c>
      <c r="B6" s="7"/>
      <c r="C6" s="7"/>
      <c r="D6" s="7"/>
    </row>
    <row r="7" spans="1:4" x14ac:dyDescent="0.25">
      <c r="A7" s="8">
        <v>1950</v>
      </c>
      <c r="C7" s="4"/>
      <c r="D7" s="4"/>
    </row>
    <row r="8" spans="1:4" x14ac:dyDescent="0.25">
      <c r="A8" s="8">
        <v>1951</v>
      </c>
      <c r="B8" s="7"/>
      <c r="C8" s="7"/>
      <c r="D8" s="7"/>
    </row>
    <row r="9" spans="1:4" x14ac:dyDescent="0.25">
      <c r="A9" s="8">
        <v>1952</v>
      </c>
      <c r="B9" s="7"/>
      <c r="C9" s="7"/>
      <c r="D9" s="7"/>
    </row>
    <row r="10" spans="1:4" x14ac:dyDescent="0.25">
      <c r="A10" s="8">
        <v>1953</v>
      </c>
      <c r="C10" s="4"/>
      <c r="D10" s="4"/>
    </row>
    <row r="11" spans="1:4" x14ac:dyDescent="0.25">
      <c r="A11" s="8">
        <v>1954</v>
      </c>
      <c r="B11" s="7"/>
      <c r="C11" s="7"/>
      <c r="D11" s="7"/>
    </row>
    <row r="12" spans="1:4" x14ac:dyDescent="0.25">
      <c r="A12" s="8">
        <v>1955</v>
      </c>
      <c r="B12" s="7">
        <f>2*4</f>
        <v>8</v>
      </c>
      <c r="C12" s="7">
        <f>2*3</f>
        <v>6</v>
      </c>
      <c r="D12" s="7">
        <f>2*5.5</f>
        <v>11</v>
      </c>
    </row>
    <row r="13" spans="1:4" x14ac:dyDescent="0.25">
      <c r="A13" s="8">
        <v>1956</v>
      </c>
      <c r="B13" s="1"/>
    </row>
    <row r="14" spans="1:4" x14ac:dyDescent="0.25">
      <c r="A14" s="8">
        <v>1957</v>
      </c>
      <c r="B14" s="1"/>
    </row>
    <row r="15" spans="1:4" x14ac:dyDescent="0.25">
      <c r="A15" s="8">
        <v>1958</v>
      </c>
      <c r="B15" s="7"/>
      <c r="C15" s="7"/>
      <c r="D15" s="7"/>
    </row>
    <row r="16" spans="1:4" x14ac:dyDescent="0.25">
      <c r="A16" s="8">
        <v>1959</v>
      </c>
      <c r="B16" s="7"/>
      <c r="C16" s="7"/>
      <c r="D16" s="7"/>
    </row>
    <row r="17" spans="1:4" x14ac:dyDescent="0.25">
      <c r="A17" s="8">
        <v>1960</v>
      </c>
      <c r="B17" s="7"/>
      <c r="C17" s="7"/>
      <c r="D17" s="7"/>
    </row>
    <row r="18" spans="1:4" x14ac:dyDescent="0.25">
      <c r="A18" s="8">
        <v>1961</v>
      </c>
      <c r="B18" s="7"/>
      <c r="C18" s="7"/>
      <c r="D18" s="7"/>
    </row>
    <row r="19" spans="1:4" x14ac:dyDescent="0.25">
      <c r="A19" s="8">
        <v>1962</v>
      </c>
      <c r="B19" s="7"/>
      <c r="C19" s="7"/>
      <c r="D19" s="7"/>
    </row>
    <row r="20" spans="1:4" x14ac:dyDescent="0.25">
      <c r="A20" s="8">
        <v>1963</v>
      </c>
      <c r="B20" s="7"/>
      <c r="C20" s="7"/>
      <c r="D20" s="7"/>
    </row>
    <row r="21" spans="1:4" x14ac:dyDescent="0.25">
      <c r="A21" s="8">
        <v>1964</v>
      </c>
      <c r="B21" s="7"/>
      <c r="C21" s="7"/>
      <c r="D21" s="7"/>
    </row>
    <row r="22" spans="1:4" x14ac:dyDescent="0.25">
      <c r="A22" s="8">
        <v>1965</v>
      </c>
      <c r="B22" s="7"/>
      <c r="C22" s="7"/>
      <c r="D22" s="7"/>
    </row>
    <row r="23" spans="1:4" x14ac:dyDescent="0.25">
      <c r="A23" s="8">
        <v>1966</v>
      </c>
      <c r="B23" s="7"/>
      <c r="C23" s="7"/>
      <c r="D23" s="7"/>
    </row>
    <row r="24" spans="1:4" x14ac:dyDescent="0.25">
      <c r="A24" s="8">
        <v>1967</v>
      </c>
      <c r="B24" s="7"/>
      <c r="C24" s="7"/>
      <c r="D24" s="7"/>
    </row>
    <row r="25" spans="1:4" x14ac:dyDescent="0.25">
      <c r="A25" s="8">
        <v>1968</v>
      </c>
      <c r="B25" s="7"/>
      <c r="C25" s="7"/>
      <c r="D25" s="7"/>
    </row>
    <row r="26" spans="1:4" x14ac:dyDescent="0.25">
      <c r="A26" s="8">
        <v>1969</v>
      </c>
      <c r="B26" s="7"/>
      <c r="C26" s="7"/>
      <c r="D26" s="7"/>
    </row>
    <row r="27" spans="1:4" x14ac:dyDescent="0.25">
      <c r="A27" s="8">
        <v>1970</v>
      </c>
      <c r="B27" s="6"/>
      <c r="C27" s="6"/>
      <c r="D27" s="6"/>
    </row>
    <row r="28" spans="1:4" x14ac:dyDescent="0.25">
      <c r="A28" s="8">
        <v>1971</v>
      </c>
      <c r="B28" s="6"/>
      <c r="C28" s="6"/>
      <c r="D28" s="6"/>
    </row>
    <row r="29" spans="1:4" x14ac:dyDescent="0.25">
      <c r="A29" s="8">
        <v>1972</v>
      </c>
      <c r="B29" s="6"/>
      <c r="C29" s="6"/>
      <c r="D29" s="6"/>
    </row>
    <row r="30" spans="1:4" x14ac:dyDescent="0.25">
      <c r="A30" s="8">
        <v>1973</v>
      </c>
      <c r="B30" s="6"/>
      <c r="C30" s="6"/>
      <c r="D30" s="6"/>
    </row>
    <row r="31" spans="1:4" x14ac:dyDescent="0.25">
      <c r="A31" s="8">
        <v>1974</v>
      </c>
      <c r="B31" s="6"/>
      <c r="C31" s="6"/>
      <c r="D31" s="6"/>
    </row>
    <row r="32" spans="1:4" x14ac:dyDescent="0.25">
      <c r="A32" s="8">
        <v>1975</v>
      </c>
      <c r="B32" s="6"/>
      <c r="C32" s="6"/>
      <c r="D32" s="6"/>
    </row>
    <row r="33" spans="1:4" x14ac:dyDescent="0.25">
      <c r="A33" s="8">
        <v>1976</v>
      </c>
      <c r="B33" s="6"/>
      <c r="C33" s="6"/>
      <c r="D33" s="6"/>
    </row>
    <row r="34" spans="1:4" x14ac:dyDescent="0.25">
      <c r="A34" s="8">
        <v>1977</v>
      </c>
      <c r="B34" s="6"/>
      <c r="C34" s="6"/>
      <c r="D34" s="6"/>
    </row>
    <row r="35" spans="1:4" x14ac:dyDescent="0.25">
      <c r="A35" s="8">
        <v>1978</v>
      </c>
      <c r="B35" s="6"/>
      <c r="C35" s="6"/>
      <c r="D35" s="6"/>
    </row>
    <row r="36" spans="1:4" x14ac:dyDescent="0.25">
      <c r="A36" s="8">
        <v>1979</v>
      </c>
      <c r="B36" s="7"/>
      <c r="C36" s="7"/>
      <c r="D36" s="7"/>
    </row>
    <row r="37" spans="1:4" x14ac:dyDescent="0.25">
      <c r="A37" s="8">
        <v>1980</v>
      </c>
      <c r="B37" s="7"/>
      <c r="C37" s="7"/>
      <c r="D37" s="7"/>
    </row>
    <row r="38" spans="1:4" x14ac:dyDescent="0.25">
      <c r="A38" s="8">
        <v>1981</v>
      </c>
      <c r="B38" s="7"/>
      <c r="C38" s="7"/>
      <c r="D38" s="7"/>
    </row>
    <row r="39" spans="1:4" x14ac:dyDescent="0.25">
      <c r="A39" s="8">
        <v>1982</v>
      </c>
      <c r="B39" s="6"/>
      <c r="C39" s="6"/>
      <c r="D39" s="6"/>
    </row>
    <row r="40" spans="1:4" x14ac:dyDescent="0.25">
      <c r="A40" s="8">
        <v>1983</v>
      </c>
      <c r="B40" s="6"/>
      <c r="C40" s="6"/>
      <c r="D40" s="6"/>
    </row>
    <row r="41" spans="1:4" x14ac:dyDescent="0.25">
      <c r="A41" s="8">
        <v>1984</v>
      </c>
      <c r="B41" s="6"/>
      <c r="C41" s="6"/>
      <c r="D41" s="6"/>
    </row>
    <row r="42" spans="1:4" x14ac:dyDescent="0.25">
      <c r="A42" s="8">
        <v>1985</v>
      </c>
      <c r="B42" s="6"/>
      <c r="C42" s="7"/>
      <c r="D42" s="7"/>
    </row>
    <row r="43" spans="1:4" x14ac:dyDescent="0.25">
      <c r="A43" s="8">
        <v>1986</v>
      </c>
      <c r="B43" s="6"/>
      <c r="C43" s="6"/>
      <c r="D43" s="6"/>
    </row>
    <row r="44" spans="1:4" x14ac:dyDescent="0.25">
      <c r="A44" s="8">
        <v>1987</v>
      </c>
      <c r="B44" s="6"/>
      <c r="C44" s="6"/>
      <c r="D44" s="6"/>
    </row>
    <row r="45" spans="1:4" x14ac:dyDescent="0.25">
      <c r="A45" s="8">
        <v>1988</v>
      </c>
      <c r="B45" s="6"/>
      <c r="C45" s="6"/>
      <c r="D45" s="6"/>
    </row>
    <row r="46" spans="1:4" x14ac:dyDescent="0.25">
      <c r="A46" s="8">
        <v>1989</v>
      </c>
      <c r="B46" s="6"/>
      <c r="C46" s="6"/>
      <c r="D46" s="6"/>
    </row>
    <row r="47" spans="1:4" x14ac:dyDescent="0.25">
      <c r="A47" s="8">
        <v>1990</v>
      </c>
      <c r="B47" s="6"/>
      <c r="C47" s="6"/>
      <c r="D47" s="6"/>
    </row>
    <row r="48" spans="1:4" x14ac:dyDescent="0.25">
      <c r="A48" s="8">
        <v>1991</v>
      </c>
      <c r="B48" s="6"/>
      <c r="C48" s="6"/>
      <c r="D48" s="6"/>
    </row>
    <row r="49" spans="1:4" x14ac:dyDescent="0.25">
      <c r="A49" s="8">
        <v>1992</v>
      </c>
      <c r="B49" s="6"/>
      <c r="C49" s="6"/>
      <c r="D49" s="6"/>
    </row>
    <row r="50" spans="1:4" x14ac:dyDescent="0.25">
      <c r="A50" s="8">
        <v>1993</v>
      </c>
      <c r="B50" s="6"/>
      <c r="C50" s="6"/>
      <c r="D50" s="6"/>
    </row>
    <row r="51" spans="1:4" x14ac:dyDescent="0.25">
      <c r="A51" s="8">
        <v>1994</v>
      </c>
      <c r="B51" s="6"/>
      <c r="C51" s="6"/>
      <c r="D51" s="6"/>
    </row>
    <row r="52" spans="1:4" x14ac:dyDescent="0.25">
      <c r="A52" s="8">
        <v>1995</v>
      </c>
      <c r="B52" s="6"/>
      <c r="C52" s="6"/>
      <c r="D52" s="6"/>
    </row>
    <row r="53" spans="1:4" x14ac:dyDescent="0.25">
      <c r="A53" s="8">
        <v>1996</v>
      </c>
      <c r="B53" s="6"/>
      <c r="C53" s="6"/>
      <c r="D53" s="6"/>
    </row>
    <row r="54" spans="1:4" x14ac:dyDescent="0.25">
      <c r="A54" s="8">
        <v>1997</v>
      </c>
      <c r="B54" s="6"/>
      <c r="C54" s="6"/>
      <c r="D54" s="6"/>
    </row>
    <row r="55" spans="1:4" x14ac:dyDescent="0.25">
      <c r="A55" s="8">
        <v>1998</v>
      </c>
      <c r="B55" s="6"/>
      <c r="C55" s="6"/>
      <c r="D55" s="6"/>
    </row>
    <row r="56" spans="1:4" x14ac:dyDescent="0.25">
      <c r="A56" s="8">
        <v>1999</v>
      </c>
      <c r="B56" s="6"/>
      <c r="C56" s="6"/>
      <c r="D56" s="6"/>
    </row>
    <row r="57" spans="1:4" x14ac:dyDescent="0.25">
      <c r="A57" s="8">
        <v>2000</v>
      </c>
      <c r="B57" s="6"/>
      <c r="C57" s="6"/>
      <c r="D57" s="6"/>
    </row>
    <row r="58" spans="1:4" x14ac:dyDescent="0.25">
      <c r="A58" s="8">
        <v>2001</v>
      </c>
      <c r="B58" s="6"/>
    </row>
    <row r="59" spans="1:4" x14ac:dyDescent="0.25">
      <c r="A59" s="8">
        <v>2002</v>
      </c>
      <c r="B59" s="6"/>
      <c r="C59" s="6"/>
      <c r="D59" s="6"/>
    </row>
    <row r="60" spans="1:4" x14ac:dyDescent="0.25">
      <c r="A60" s="8">
        <v>2003</v>
      </c>
      <c r="B60" s="6"/>
      <c r="C60" s="6"/>
      <c r="D60" s="6"/>
    </row>
    <row r="61" spans="1:4" x14ac:dyDescent="0.25">
      <c r="A61" s="8">
        <v>2004</v>
      </c>
      <c r="B61" s="6"/>
      <c r="C61" s="6"/>
      <c r="D61" s="6"/>
    </row>
    <row r="62" spans="1:4" x14ac:dyDescent="0.25">
      <c r="A62" s="8">
        <v>2005</v>
      </c>
      <c r="B62" s="47">
        <f>AVERAGE(C62:D62)</f>
        <v>9.5</v>
      </c>
      <c r="C62" s="6">
        <f>2*4</f>
        <v>8</v>
      </c>
      <c r="D62" s="6">
        <f>2*5.5</f>
        <v>11</v>
      </c>
    </row>
    <row r="63" spans="1:4" x14ac:dyDescent="0.25">
      <c r="A63" s="8">
        <v>2006</v>
      </c>
      <c r="B63" s="6"/>
      <c r="C63" s="6"/>
      <c r="D63" s="6"/>
    </row>
    <row r="64" spans="1:4" x14ac:dyDescent="0.25">
      <c r="A64" s="8">
        <v>2007</v>
      </c>
      <c r="B64" s="6"/>
      <c r="C64" s="6"/>
      <c r="D64" s="6"/>
    </row>
    <row r="65" spans="1:40" x14ac:dyDescent="0.25">
      <c r="A65" s="8">
        <v>2008</v>
      </c>
      <c r="B65" s="6"/>
      <c r="C65" s="6"/>
      <c r="D65" s="6"/>
    </row>
    <row r="66" spans="1:40" x14ac:dyDescent="0.25">
      <c r="A66" s="8">
        <v>2009</v>
      </c>
      <c r="B66" s="6"/>
      <c r="C66" s="6"/>
      <c r="D66" s="6"/>
    </row>
    <row r="67" spans="1:40" x14ac:dyDescent="0.25">
      <c r="A67" s="8">
        <v>2010</v>
      </c>
      <c r="B67" s="6"/>
      <c r="C67" s="6"/>
      <c r="D67" s="6"/>
    </row>
    <row r="68" spans="1:40" x14ac:dyDescent="0.25">
      <c r="A68" s="8">
        <v>2011</v>
      </c>
      <c r="B68" s="6"/>
      <c r="C68" s="6"/>
      <c r="D68" s="6"/>
    </row>
    <row r="69" spans="1:40" x14ac:dyDescent="0.25">
      <c r="A69" s="8">
        <v>2012</v>
      </c>
      <c r="B69" s="6"/>
      <c r="C69" s="6"/>
      <c r="D69" s="6"/>
    </row>
    <row r="70" spans="1:40" x14ac:dyDescent="0.25">
      <c r="A70" s="8">
        <v>2013</v>
      </c>
      <c r="B70" s="6"/>
      <c r="C70" s="6"/>
      <c r="D70" s="6"/>
    </row>
    <row r="71" spans="1:40" x14ac:dyDescent="0.25">
      <c r="A71" s="8">
        <v>2014</v>
      </c>
      <c r="B71" s="6"/>
      <c r="C71" s="6"/>
      <c r="D71" s="6"/>
    </row>
    <row r="72" spans="1:40" x14ac:dyDescent="0.25">
      <c r="A72" s="8">
        <v>2015</v>
      </c>
      <c r="B72" s="6"/>
      <c r="C72" s="6"/>
      <c r="D72" s="6"/>
    </row>
    <row r="73" spans="1:40" x14ac:dyDescent="0.25">
      <c r="A73" s="8">
        <v>2016</v>
      </c>
      <c r="B73" s="6"/>
      <c r="C73" s="6"/>
      <c r="D73" s="6"/>
    </row>
    <row r="74" spans="1:40" x14ac:dyDescent="0.25">
      <c r="A74" s="8">
        <v>2017</v>
      </c>
      <c r="B74" s="6"/>
      <c r="C74" s="6"/>
      <c r="D74" s="6"/>
    </row>
    <row r="75" spans="1:40" x14ac:dyDescent="0.25">
      <c r="A75" s="8">
        <v>2018</v>
      </c>
      <c r="B75" s="6"/>
      <c r="C75" s="6"/>
      <c r="D75" s="6"/>
    </row>
    <row r="76" spans="1:40" x14ac:dyDescent="0.25">
      <c r="A76" s="8">
        <v>2019</v>
      </c>
    </row>
    <row r="77" spans="1:40" x14ac:dyDescent="0.25">
      <c r="A77" s="8">
        <v>2020</v>
      </c>
      <c r="B77" s="7"/>
      <c r="C77" s="6"/>
      <c r="D77" s="6"/>
    </row>
    <row r="78" spans="1:40" s="4" customFormat="1" x14ac:dyDescent="0.25">
      <c r="A78" s="8">
        <v>2021</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s="4" customFormat="1" x14ac:dyDescent="0.25">
      <c r="A79" s="8">
        <v>2022</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s="4" customFormat="1" x14ac:dyDescent="0.25">
      <c r="A80" s="8">
        <v>2023</v>
      </c>
      <c r="B80" s="6">
        <f>2*5</f>
        <v>10</v>
      </c>
      <c r="C80" s="6">
        <f>2*4</f>
        <v>8</v>
      </c>
      <c r="D80" s="6">
        <f>2*6</f>
        <v>12</v>
      </c>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7" spans="1:40" s="4" customFormat="1" x14ac:dyDescent="0.25">
      <c r="A87" s="2"/>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s="4" customFormat="1" x14ac:dyDescent="0.25">
      <c r="A88" s="2"/>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sheetData>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R88"/>
  <sheetViews>
    <sheetView zoomScale="70" zoomScaleNormal="70" workbookViewId="0">
      <pane xSplit="1" ySplit="1" topLeftCell="B8" activePane="bottomRight" state="frozen"/>
      <selection pane="topRight" activeCell="B1" sqref="B1"/>
      <selection pane="bottomLeft" activeCell="A2" sqref="A2"/>
      <selection pane="bottomRight" activeCell="B7" sqref="B7:I76"/>
    </sheetView>
  </sheetViews>
  <sheetFormatPr baseColWidth="10" defaultColWidth="10.7109375" defaultRowHeight="15" x14ac:dyDescent="0.25"/>
  <cols>
    <col min="1" max="1" width="8" style="16" bestFit="1" customWidth="1"/>
    <col min="2" max="9" width="15.140625" style="13" customWidth="1"/>
    <col min="10" max="16384" width="10.7109375" style="13"/>
  </cols>
  <sheetData>
    <row r="1" spans="1:11" s="18" customFormat="1" ht="45" x14ac:dyDescent="0.25">
      <c r="A1" s="34" t="s">
        <v>0</v>
      </c>
      <c r="B1" s="35" t="s">
        <v>8</v>
      </c>
      <c r="C1" s="35" t="s">
        <v>9</v>
      </c>
      <c r="D1" s="35" t="s">
        <v>4</v>
      </c>
      <c r="E1" s="35" t="s">
        <v>10</v>
      </c>
      <c r="F1" s="35" t="s">
        <v>7</v>
      </c>
      <c r="G1" s="35" t="s">
        <v>2</v>
      </c>
      <c r="H1" s="35" t="s">
        <v>3</v>
      </c>
      <c r="I1" s="35" t="s">
        <v>5</v>
      </c>
    </row>
    <row r="2" spans="1:11" x14ac:dyDescent="0.25">
      <c r="A2" s="36">
        <v>1945</v>
      </c>
      <c r="B2" s="14"/>
      <c r="C2" s="14"/>
      <c r="D2" s="14"/>
      <c r="E2" s="14"/>
      <c r="F2" s="14"/>
      <c r="G2" s="14"/>
      <c r="H2" s="14"/>
      <c r="I2" s="14"/>
    </row>
    <row r="3" spans="1:11" x14ac:dyDescent="0.25">
      <c r="A3" s="36">
        <v>1946</v>
      </c>
      <c r="B3" s="14"/>
      <c r="C3" s="14"/>
      <c r="D3" s="14"/>
      <c r="E3" s="14"/>
      <c r="F3" s="14"/>
      <c r="G3" s="14"/>
      <c r="H3" s="14"/>
      <c r="I3" s="14"/>
    </row>
    <row r="4" spans="1:11" x14ac:dyDescent="0.25">
      <c r="A4" s="36">
        <v>1947</v>
      </c>
      <c r="B4" s="14"/>
      <c r="C4" s="14"/>
      <c r="D4" s="14"/>
      <c r="E4" s="14"/>
      <c r="F4" s="14"/>
      <c r="G4" s="14"/>
      <c r="H4" s="14"/>
      <c r="I4" s="14"/>
    </row>
    <row r="5" spans="1:11" x14ac:dyDescent="0.25">
      <c r="A5" s="36">
        <v>1948</v>
      </c>
      <c r="B5" s="14"/>
      <c r="C5" s="14"/>
      <c r="D5" s="14"/>
      <c r="E5" s="14"/>
      <c r="F5" s="14"/>
      <c r="G5" s="14"/>
      <c r="H5" s="14"/>
      <c r="I5" s="14"/>
    </row>
    <row r="6" spans="1:11" x14ac:dyDescent="0.25">
      <c r="A6" s="36">
        <v>1949</v>
      </c>
      <c r="B6" s="14"/>
      <c r="C6" s="14"/>
      <c r="D6" s="14"/>
      <c r="E6" s="14"/>
      <c r="F6" s="14"/>
      <c r="G6" s="14"/>
      <c r="H6" s="14"/>
      <c r="I6" s="14"/>
    </row>
    <row r="7" spans="1:11" x14ac:dyDescent="0.25">
      <c r="A7" s="36">
        <v>1950</v>
      </c>
      <c r="B7" s="14">
        <v>0.29764145658263302</v>
      </c>
      <c r="C7" s="14">
        <v>0.10377591036414564</v>
      </c>
      <c r="D7" s="14">
        <v>0.64892156862745087</v>
      </c>
      <c r="E7" s="14">
        <v>0.19899439775910366</v>
      </c>
      <c r="F7" s="14">
        <v>3.5336134453781504E-2</v>
      </c>
      <c r="G7" s="14">
        <v>7.5518207282913155E-2</v>
      </c>
      <c r="H7" s="14">
        <v>0.13031092436974787</v>
      </c>
      <c r="I7" s="14">
        <v>2.1879551820728288E-2</v>
      </c>
      <c r="J7" s="14"/>
      <c r="K7" s="14"/>
    </row>
    <row r="8" spans="1:11" x14ac:dyDescent="0.25">
      <c r="A8" s="36">
        <v>1951</v>
      </c>
      <c r="B8" s="14"/>
      <c r="C8" s="14"/>
      <c r="D8" s="14"/>
      <c r="E8" s="14"/>
      <c r="F8" s="14"/>
      <c r="G8" s="14"/>
      <c r="H8" s="14"/>
      <c r="I8" s="14"/>
      <c r="K8" s="14"/>
    </row>
    <row r="9" spans="1:11" x14ac:dyDescent="0.25">
      <c r="A9" s="36">
        <v>1952</v>
      </c>
      <c r="B9" s="14">
        <v>0.28172164231036884</v>
      </c>
      <c r="C9" s="14">
        <v>0.12035629784272792</v>
      </c>
      <c r="D9" s="14">
        <v>0.64175434933890052</v>
      </c>
      <c r="E9" s="14">
        <v>0.19764022268615172</v>
      </c>
      <c r="F9" s="14">
        <v>3.4048016701461375E-2</v>
      </c>
      <c r="G9" s="14">
        <v>7.6971468336812815E-2</v>
      </c>
      <c r="H9" s="14">
        <v>0.12882463465553234</v>
      </c>
      <c r="I9" s="14">
        <v>2.2242867084203199E-2</v>
      </c>
      <c r="K9" s="14"/>
    </row>
    <row r="10" spans="1:11" x14ac:dyDescent="0.25">
      <c r="A10" s="36">
        <v>1953</v>
      </c>
      <c r="B10" s="14"/>
      <c r="C10" s="14"/>
      <c r="D10" s="14"/>
      <c r="E10" s="14"/>
      <c r="F10" s="14"/>
      <c r="G10" s="14"/>
      <c r="H10" s="14"/>
      <c r="I10" s="14"/>
      <c r="K10" s="14"/>
    </row>
    <row r="11" spans="1:11" x14ac:dyDescent="0.25">
      <c r="A11" s="36">
        <v>1954</v>
      </c>
      <c r="B11" s="14">
        <v>0.28611556383970177</v>
      </c>
      <c r="C11" s="14">
        <v>0.11578005591798697</v>
      </c>
      <c r="D11" s="14">
        <v>0.64373252562907735</v>
      </c>
      <c r="E11" s="14">
        <v>0.19801397949673813</v>
      </c>
      <c r="F11" s="14">
        <v>3.4403541472506988E-2</v>
      </c>
      <c r="G11" s="14">
        <v>7.6570363466915189E-2</v>
      </c>
      <c r="H11" s="14">
        <v>0.12923485554520037</v>
      </c>
      <c r="I11" s="14">
        <v>2.2142590866728797E-2</v>
      </c>
      <c r="K11" s="14"/>
    </row>
    <row r="12" spans="1:11" x14ac:dyDescent="0.25">
      <c r="A12" s="36">
        <v>1955</v>
      </c>
      <c r="B12" s="14"/>
      <c r="C12" s="14"/>
      <c r="D12" s="14"/>
      <c r="E12" s="14"/>
      <c r="F12" s="14"/>
      <c r="G12" s="14"/>
      <c r="H12" s="14"/>
      <c r="I12" s="14"/>
      <c r="K12" s="14"/>
    </row>
    <row r="13" spans="1:11" x14ac:dyDescent="0.25">
      <c r="A13" s="36">
        <v>1956</v>
      </c>
      <c r="B13" s="14">
        <v>0.28060498463639466</v>
      </c>
      <c r="C13" s="14">
        <v>0.1215192898600205</v>
      </c>
      <c r="D13" s="14">
        <v>0.6412516217138956</v>
      </c>
      <c r="E13" s="14">
        <v>0.19754523728234896</v>
      </c>
      <c r="F13" s="14">
        <v>3.3957664731990439E-2</v>
      </c>
      <c r="G13" s="14">
        <v>7.7073403892113354E-2</v>
      </c>
      <c r="H13" s="14">
        <v>0.12872038238306588</v>
      </c>
      <c r="I13" s="14">
        <v>2.2268350973028338E-2</v>
      </c>
      <c r="K13" s="14"/>
    </row>
    <row r="14" spans="1:11" x14ac:dyDescent="0.25">
      <c r="A14" s="36">
        <v>1957</v>
      </c>
      <c r="B14" s="14"/>
      <c r="C14" s="14"/>
      <c r="D14" s="14"/>
      <c r="E14" s="14"/>
      <c r="F14" s="14"/>
      <c r="G14" s="14"/>
      <c r="H14" s="14"/>
      <c r="I14" s="14"/>
      <c r="K14" s="14"/>
    </row>
    <row r="15" spans="1:11" x14ac:dyDescent="0.25">
      <c r="A15" s="36">
        <v>1958</v>
      </c>
      <c r="B15" s="14">
        <v>0.26506016980435587</v>
      </c>
      <c r="C15" s="14">
        <v>0.13770911775562938</v>
      </c>
      <c r="D15" s="14">
        <v>0.63425322997416034</v>
      </c>
      <c r="E15" s="14">
        <v>0.19622296050203031</v>
      </c>
      <c r="F15" s="14">
        <v>3.2699889258028796E-2</v>
      </c>
      <c r="G15" s="14">
        <v>7.8492432631967521E-2</v>
      </c>
      <c r="H15" s="14">
        <v>0.12726910299003322</v>
      </c>
      <c r="I15" s="14">
        <v>2.2623108157991879E-2</v>
      </c>
      <c r="K15" s="14"/>
    </row>
    <row r="16" spans="1:11" x14ac:dyDescent="0.25">
      <c r="A16" s="36">
        <v>1959</v>
      </c>
      <c r="B16" s="14"/>
      <c r="C16" s="14"/>
      <c r="D16" s="14"/>
      <c r="E16" s="14"/>
      <c r="F16" s="14"/>
      <c r="G16" s="14"/>
      <c r="H16" s="14"/>
      <c r="I16" s="14"/>
      <c r="K16" s="14"/>
    </row>
    <row r="17" spans="1:11" x14ac:dyDescent="0.25">
      <c r="A17" s="36">
        <v>1960</v>
      </c>
      <c r="B17" s="14">
        <v>0.2444013442150744</v>
      </c>
      <c r="C17" s="14">
        <v>0.15922515602496401</v>
      </c>
      <c r="D17" s="14">
        <v>0.62495247239558327</v>
      </c>
      <c r="E17" s="14">
        <v>0.19446567450792129</v>
      </c>
      <c r="F17" s="14">
        <v>3.1028324531925104E-2</v>
      </c>
      <c r="G17" s="14">
        <v>8.0378300528084506E-2</v>
      </c>
      <c r="H17" s="14">
        <v>0.12534037445991358</v>
      </c>
      <c r="I17" s="14">
        <v>2.3094575132021122E-2</v>
      </c>
      <c r="K17" s="14"/>
    </row>
    <row r="18" spans="1:11" x14ac:dyDescent="0.25">
      <c r="A18" s="36">
        <v>1961</v>
      </c>
      <c r="B18" s="14"/>
      <c r="C18" s="14"/>
      <c r="D18" s="14"/>
      <c r="E18" s="14"/>
      <c r="F18" s="14"/>
      <c r="G18" s="14"/>
      <c r="H18" s="14"/>
      <c r="I18" s="14"/>
      <c r="K18" s="14"/>
    </row>
    <row r="19" spans="1:11" x14ac:dyDescent="0.25">
      <c r="A19" s="36">
        <v>1962</v>
      </c>
      <c r="B19" s="14">
        <v>0.23623669969780031</v>
      </c>
      <c r="C19" s="14">
        <v>0.16772858247241551</v>
      </c>
      <c r="D19" s="14">
        <v>0.62127668845315909</v>
      </c>
      <c r="E19" s="14">
        <v>0.19377117155105772</v>
      </c>
      <c r="F19" s="14">
        <v>3.0367699768079279E-2</v>
      </c>
      <c r="G19" s="14">
        <v>8.1123620774474672E-2</v>
      </c>
      <c r="H19" s="14">
        <v>0.12457811511701455</v>
      </c>
      <c r="I19" s="14">
        <v>2.3280905193618667E-2</v>
      </c>
      <c r="K19" s="14"/>
    </row>
    <row r="20" spans="1:11" x14ac:dyDescent="0.25">
      <c r="A20" s="36">
        <v>1963</v>
      </c>
      <c r="B20" s="14"/>
      <c r="C20" s="14"/>
      <c r="D20" s="14"/>
      <c r="E20" s="14"/>
      <c r="F20" s="14"/>
      <c r="G20" s="14"/>
      <c r="H20" s="14"/>
      <c r="I20" s="14"/>
      <c r="K20" s="14"/>
    </row>
    <row r="21" spans="1:11" x14ac:dyDescent="0.25">
      <c r="A21" s="36">
        <v>1964</v>
      </c>
      <c r="B21" s="14">
        <v>0.24527784938317068</v>
      </c>
      <c r="C21" s="14">
        <v>0.15831228134781808</v>
      </c>
      <c r="D21" s="14">
        <v>0.62534708156877183</v>
      </c>
      <c r="E21" s="14">
        <v>0.19454023200147302</v>
      </c>
      <c r="F21" s="14">
        <v>3.1099245074571898E-2</v>
      </c>
      <c r="G21" s="14">
        <v>8.0298287608175284E-2</v>
      </c>
      <c r="H21" s="14">
        <v>0.12542220585527528</v>
      </c>
      <c r="I21" s="14">
        <v>2.3074571902043824E-2</v>
      </c>
      <c r="K21" s="14"/>
    </row>
    <row r="22" spans="1:11" x14ac:dyDescent="0.25">
      <c r="A22" s="36">
        <v>1965</v>
      </c>
      <c r="B22" s="14"/>
      <c r="C22" s="14"/>
      <c r="D22" s="14"/>
      <c r="E22" s="14"/>
      <c r="F22" s="14"/>
      <c r="G22" s="14"/>
      <c r="H22" s="14"/>
      <c r="I22" s="14"/>
      <c r="K22" s="14"/>
    </row>
    <row r="23" spans="1:11" x14ac:dyDescent="0.25">
      <c r="A23" s="36">
        <v>1966</v>
      </c>
      <c r="B23" s="14">
        <v>0.23503697264719517</v>
      </c>
      <c r="C23" s="14">
        <v>0.14590855354659246</v>
      </c>
      <c r="D23" s="14">
        <v>0.58426124246638844</v>
      </c>
      <c r="E23" s="14">
        <v>0.17747786277236904</v>
      </c>
      <c r="F23" s="14">
        <v>1.3705957348168752E-2</v>
      </c>
      <c r="G23" s="14">
        <v>6.4765530829856283E-2</v>
      </c>
      <c r="H23" s="14">
        <v>0.12741446453407509</v>
      </c>
      <c r="I23" s="14">
        <v>3.5290217895224844E-2</v>
      </c>
      <c r="K23" s="14"/>
    </row>
    <row r="24" spans="1:11" x14ac:dyDescent="0.25">
      <c r="A24" s="36">
        <v>1967</v>
      </c>
      <c r="B24" s="14"/>
      <c r="C24" s="14"/>
      <c r="D24" s="14"/>
      <c r="E24" s="14"/>
      <c r="F24" s="14"/>
      <c r="G24" s="14"/>
      <c r="H24" s="14"/>
      <c r="I24" s="14"/>
      <c r="K24" s="14"/>
    </row>
    <row r="25" spans="1:11" x14ac:dyDescent="0.25">
      <c r="A25" s="36">
        <v>1968</v>
      </c>
      <c r="B25" s="14">
        <v>0.23345269818093328</v>
      </c>
      <c r="C25" s="14">
        <v>0.14730644278152949</v>
      </c>
      <c r="D25" s="14">
        <v>0.58314935815538127</v>
      </c>
      <c r="E25" s="14">
        <v>0.17716614954067045</v>
      </c>
      <c r="F25" s="14">
        <v>1.3702743809697635E-2</v>
      </c>
      <c r="G25" s="14">
        <v>6.473018190667397E-2</v>
      </c>
      <c r="H25" s="14">
        <v>0.12729877714911481</v>
      </c>
      <c r="I25" s="14">
        <v>3.5457321895723065E-2</v>
      </c>
      <c r="K25" s="14"/>
    </row>
    <row r="26" spans="1:11" x14ac:dyDescent="0.25">
      <c r="A26" s="36">
        <v>1969</v>
      </c>
      <c r="B26" s="14"/>
      <c r="C26" s="14"/>
      <c r="D26" s="14"/>
      <c r="E26" s="14"/>
      <c r="F26" s="14"/>
      <c r="G26" s="14"/>
      <c r="H26" s="14"/>
      <c r="I26" s="14"/>
      <c r="K26" s="14"/>
    </row>
    <row r="27" spans="1:11" x14ac:dyDescent="0.25">
      <c r="A27" s="36">
        <v>1970</v>
      </c>
      <c r="B27" s="14">
        <v>0.24532264479244345</v>
      </c>
      <c r="C27" s="14">
        <v>0.13683296047725579</v>
      </c>
      <c r="D27" s="14">
        <v>0.59147999005717122</v>
      </c>
      <c r="E27" s="14">
        <v>0.17950161570966944</v>
      </c>
      <c r="F27" s="14">
        <v>1.3726820780512058E-2</v>
      </c>
      <c r="G27" s="14">
        <v>6.4995028585632622E-2</v>
      </c>
      <c r="H27" s="14">
        <v>0.128165548098434</v>
      </c>
      <c r="I27" s="14">
        <v>3.4205319413373104E-2</v>
      </c>
      <c r="K27" s="14"/>
    </row>
    <row r="28" spans="1:11" x14ac:dyDescent="0.25">
      <c r="A28" s="36">
        <v>1971</v>
      </c>
      <c r="B28" s="14"/>
      <c r="C28" s="14"/>
      <c r="D28" s="14"/>
      <c r="E28" s="14"/>
      <c r="F28" s="14"/>
      <c r="G28" s="14"/>
      <c r="H28" s="14"/>
      <c r="I28" s="14"/>
      <c r="K28" s="14"/>
    </row>
    <row r="29" spans="1:11" x14ac:dyDescent="0.25">
      <c r="A29" s="36">
        <v>1972</v>
      </c>
      <c r="B29" s="14">
        <v>0.23310470836261415</v>
      </c>
      <c r="C29" s="14">
        <v>0.14761349262122275</v>
      </c>
      <c r="D29" s="14">
        <v>0.58290513000702737</v>
      </c>
      <c r="E29" s="14">
        <v>0.17709768095572731</v>
      </c>
      <c r="F29" s="14">
        <v>1.370203794799719E-2</v>
      </c>
      <c r="G29" s="14">
        <v>6.4722417427969081E-2</v>
      </c>
      <c r="H29" s="14">
        <v>0.12727336612789877</v>
      </c>
      <c r="I29" s="14">
        <v>3.5494026704146163E-2</v>
      </c>
      <c r="K29" s="14"/>
    </row>
    <row r="30" spans="1:11" x14ac:dyDescent="0.25">
      <c r="A30" s="36">
        <v>1973</v>
      </c>
      <c r="B30" s="14"/>
      <c r="C30" s="14"/>
      <c r="D30" s="14"/>
      <c r="E30" s="14"/>
      <c r="F30" s="14"/>
      <c r="G30" s="14"/>
      <c r="H30" s="14"/>
      <c r="I30" s="14"/>
      <c r="K30" s="14"/>
    </row>
    <row r="31" spans="1:11" x14ac:dyDescent="0.25">
      <c r="A31" s="36">
        <v>1974</v>
      </c>
      <c r="B31" s="14">
        <v>0.22946564885496182</v>
      </c>
      <c r="C31" s="14">
        <v>0.15082442748091604</v>
      </c>
      <c r="D31" s="14">
        <v>0.58035114503816787</v>
      </c>
      <c r="E31" s="14">
        <v>0.17638167938931298</v>
      </c>
      <c r="F31" s="14">
        <v>1.3694656488549617E-2</v>
      </c>
      <c r="G31" s="14">
        <v>6.4641221374045793E-2</v>
      </c>
      <c r="H31" s="14">
        <v>0.12700763358778625</v>
      </c>
      <c r="I31" s="14">
        <v>3.5877862595419842E-2</v>
      </c>
      <c r="K31" s="14"/>
    </row>
    <row r="32" spans="1:11" x14ac:dyDescent="0.25">
      <c r="A32" s="36">
        <v>1975</v>
      </c>
      <c r="B32" s="14"/>
      <c r="C32" s="14"/>
      <c r="D32" s="14"/>
      <c r="E32" s="14"/>
      <c r="F32" s="14"/>
      <c r="G32" s="14"/>
      <c r="H32" s="14"/>
      <c r="I32" s="14"/>
      <c r="K32" s="14"/>
    </row>
    <row r="33" spans="1:11" x14ac:dyDescent="0.25">
      <c r="A33" s="36">
        <v>1976</v>
      </c>
      <c r="B33" s="14"/>
      <c r="C33" s="14"/>
      <c r="D33" s="14"/>
      <c r="E33" s="14"/>
      <c r="F33" s="14"/>
      <c r="G33" s="14"/>
      <c r="H33" s="14"/>
      <c r="I33" s="14"/>
      <c r="K33" s="14"/>
    </row>
    <row r="34" spans="1:11" x14ac:dyDescent="0.25">
      <c r="A34" s="36">
        <v>1977</v>
      </c>
      <c r="B34" s="14">
        <v>0.21394260338606716</v>
      </c>
      <c r="C34" s="14">
        <v>0.16452123230641133</v>
      </c>
      <c r="D34" s="14">
        <v>0.56945667499306141</v>
      </c>
      <c r="E34" s="14">
        <v>0.17332744934776576</v>
      </c>
      <c r="F34" s="14">
        <v>1.3663169580904803E-2</v>
      </c>
      <c r="G34" s="14">
        <v>6.4294865389952827E-2</v>
      </c>
      <c r="H34" s="14">
        <v>0.12587410491257284</v>
      </c>
      <c r="I34" s="14">
        <v>3.7515181792950318E-2</v>
      </c>
      <c r="K34" s="14"/>
    </row>
    <row r="35" spans="1:11" x14ac:dyDescent="0.25">
      <c r="A35" s="36">
        <v>1978</v>
      </c>
      <c r="B35" s="14"/>
      <c r="C35" s="14"/>
      <c r="D35" s="14"/>
      <c r="E35" s="14"/>
      <c r="F35" s="14"/>
      <c r="G35" s="14"/>
      <c r="H35" s="14"/>
      <c r="I35" s="14"/>
      <c r="K35" s="14"/>
    </row>
    <row r="36" spans="1:11" x14ac:dyDescent="0.25">
      <c r="A36" s="36">
        <v>1979</v>
      </c>
      <c r="B36" s="14"/>
      <c r="C36" s="14"/>
      <c r="D36" s="14"/>
      <c r="E36" s="14"/>
      <c r="F36" s="14"/>
      <c r="G36" s="14"/>
      <c r="H36" s="14"/>
      <c r="I36" s="14"/>
      <c r="K36" s="14"/>
    </row>
    <row r="37" spans="1:11" x14ac:dyDescent="0.25">
      <c r="A37" s="36">
        <v>1980</v>
      </c>
      <c r="B37" s="14"/>
      <c r="C37" s="14"/>
      <c r="D37" s="14"/>
      <c r="E37" s="14"/>
      <c r="F37" s="14"/>
      <c r="G37" s="14"/>
      <c r="H37" s="14"/>
      <c r="I37" s="14"/>
      <c r="K37" s="14"/>
    </row>
    <row r="38" spans="1:11" x14ac:dyDescent="0.25">
      <c r="A38" s="36">
        <v>1981</v>
      </c>
      <c r="B38" s="14"/>
      <c r="C38" s="14"/>
      <c r="D38" s="14"/>
      <c r="E38" s="14"/>
      <c r="F38" s="14"/>
      <c r="G38" s="14"/>
      <c r="H38" s="14"/>
      <c r="I38" s="14"/>
      <c r="K38" s="14"/>
    </row>
    <row r="39" spans="1:11" x14ac:dyDescent="0.25">
      <c r="A39" s="36">
        <v>1982</v>
      </c>
      <c r="B39" s="14"/>
      <c r="C39" s="14"/>
      <c r="D39" s="14"/>
      <c r="E39" s="14"/>
      <c r="F39" s="14"/>
      <c r="G39" s="14"/>
      <c r="H39" s="14"/>
      <c r="I39" s="14"/>
      <c r="K39" s="14"/>
    </row>
    <row r="40" spans="1:11" x14ac:dyDescent="0.25">
      <c r="A40" s="36">
        <v>1983</v>
      </c>
      <c r="B40" s="14"/>
      <c r="C40" s="14"/>
      <c r="D40" s="14"/>
      <c r="E40" s="14"/>
      <c r="F40" s="14"/>
      <c r="G40" s="14"/>
      <c r="H40" s="14"/>
      <c r="I40" s="14"/>
      <c r="K40" s="14"/>
    </row>
    <row r="41" spans="1:11" x14ac:dyDescent="0.25">
      <c r="A41" s="36">
        <v>1984</v>
      </c>
      <c r="B41" s="14"/>
      <c r="C41" s="14"/>
      <c r="D41" s="14"/>
      <c r="E41" s="14"/>
      <c r="F41" s="14"/>
      <c r="G41" s="14"/>
      <c r="H41" s="14"/>
      <c r="I41" s="14"/>
      <c r="K41" s="14"/>
    </row>
    <row r="42" spans="1:11" x14ac:dyDescent="0.25">
      <c r="A42" s="36">
        <v>1985</v>
      </c>
      <c r="B42" s="14"/>
      <c r="C42" s="14"/>
      <c r="D42" s="14"/>
      <c r="E42" s="14"/>
      <c r="F42" s="14"/>
      <c r="G42" s="14"/>
      <c r="H42" s="14"/>
      <c r="I42" s="14"/>
      <c r="K42" s="14"/>
    </row>
    <row r="43" spans="1:11" x14ac:dyDescent="0.25">
      <c r="A43" s="36">
        <v>1986</v>
      </c>
      <c r="B43" s="14"/>
      <c r="C43" s="14"/>
      <c r="D43" s="14"/>
      <c r="E43" s="14"/>
      <c r="F43" s="14"/>
      <c r="G43" s="14"/>
      <c r="H43" s="14"/>
      <c r="I43" s="14"/>
      <c r="K43" s="14"/>
    </row>
    <row r="44" spans="1:11" x14ac:dyDescent="0.25">
      <c r="A44" s="36">
        <v>1987</v>
      </c>
      <c r="B44" s="14"/>
      <c r="C44" s="14"/>
      <c r="D44" s="14"/>
      <c r="E44" s="14"/>
      <c r="F44" s="14"/>
      <c r="G44" s="14"/>
      <c r="H44" s="14"/>
      <c r="I44" s="14"/>
      <c r="K44" s="14"/>
    </row>
    <row r="45" spans="1:11" x14ac:dyDescent="0.25">
      <c r="A45" s="36">
        <v>1988</v>
      </c>
      <c r="B45" s="14"/>
      <c r="C45" s="14"/>
      <c r="D45" s="14"/>
      <c r="E45" s="14"/>
      <c r="F45" s="14"/>
      <c r="G45" s="14"/>
      <c r="H45" s="14"/>
      <c r="I45" s="14"/>
      <c r="K45" s="14"/>
    </row>
    <row r="46" spans="1:11" x14ac:dyDescent="0.25">
      <c r="A46" s="36">
        <v>1989</v>
      </c>
      <c r="B46" s="14"/>
      <c r="C46" s="14"/>
      <c r="D46" s="14"/>
      <c r="E46" s="14"/>
      <c r="F46" s="14"/>
      <c r="G46" s="14"/>
      <c r="H46" s="14"/>
      <c r="I46" s="14"/>
      <c r="K46" s="14"/>
    </row>
    <row r="47" spans="1:11" x14ac:dyDescent="0.25">
      <c r="A47" s="36">
        <v>1990</v>
      </c>
      <c r="B47" s="14"/>
      <c r="C47" s="14"/>
      <c r="D47" s="14"/>
      <c r="E47" s="14"/>
      <c r="F47" s="14"/>
      <c r="G47" s="14"/>
      <c r="H47" s="14"/>
      <c r="I47" s="14"/>
      <c r="K47" s="14"/>
    </row>
    <row r="48" spans="1:11" x14ac:dyDescent="0.25">
      <c r="A48" s="36">
        <v>1991</v>
      </c>
      <c r="B48" s="14"/>
      <c r="C48" s="14"/>
      <c r="D48" s="14"/>
      <c r="E48" s="14"/>
      <c r="F48" s="14"/>
      <c r="G48" s="14"/>
      <c r="H48" s="14"/>
      <c r="I48" s="14"/>
      <c r="K48" s="14"/>
    </row>
    <row r="49" spans="1:21" x14ac:dyDescent="0.25">
      <c r="A49" s="36">
        <v>1992</v>
      </c>
      <c r="B49" s="14"/>
      <c r="C49" s="14"/>
      <c r="D49" s="14"/>
      <c r="E49" s="14"/>
      <c r="F49" s="14"/>
      <c r="G49" s="14"/>
      <c r="H49" s="14"/>
      <c r="I49" s="14"/>
      <c r="K49" s="14"/>
    </row>
    <row r="50" spans="1:21" x14ac:dyDescent="0.25">
      <c r="A50" s="36">
        <v>1993</v>
      </c>
      <c r="B50" s="14">
        <v>5.4620000000000009E-2</v>
      </c>
      <c r="C50" s="14">
        <v>0.30509999999999998</v>
      </c>
      <c r="D50" s="14">
        <v>0.45763999999999994</v>
      </c>
      <c r="E50" s="14">
        <v>0.14198000000000002</v>
      </c>
      <c r="F50" s="14">
        <v>1.3339999999999999E-2</v>
      </c>
      <c r="G50" s="14">
        <v>6.0740000000000002E-2</v>
      </c>
      <c r="H50" s="14">
        <v>0.11424000000000001</v>
      </c>
      <c r="I50" s="14">
        <v>5.4319999999999993E-2</v>
      </c>
      <c r="K50" s="14"/>
      <c r="Q50" s="12"/>
    </row>
    <row r="51" spans="1:21" x14ac:dyDescent="0.25">
      <c r="A51" s="36">
        <v>1994</v>
      </c>
      <c r="B51" s="14"/>
      <c r="C51" s="14"/>
      <c r="D51" s="14"/>
      <c r="E51" s="14"/>
      <c r="F51" s="14"/>
      <c r="G51" s="14"/>
      <c r="H51" s="14"/>
      <c r="I51" s="14"/>
      <c r="K51" s="14"/>
    </row>
    <row r="52" spans="1:21" x14ac:dyDescent="0.25">
      <c r="A52" s="36">
        <v>1995</v>
      </c>
      <c r="B52" s="14"/>
      <c r="C52" s="14"/>
      <c r="D52" s="14"/>
      <c r="E52" s="14"/>
      <c r="F52" s="14"/>
      <c r="G52" s="14"/>
      <c r="H52" s="14"/>
      <c r="I52" s="14"/>
      <c r="K52" s="14"/>
      <c r="R52" s="12"/>
    </row>
    <row r="53" spans="1:21" x14ac:dyDescent="0.25">
      <c r="A53" s="36">
        <v>1996</v>
      </c>
      <c r="B53" s="14"/>
      <c r="C53" s="14"/>
      <c r="D53" s="14"/>
      <c r="E53" s="14"/>
      <c r="F53" s="14"/>
      <c r="G53" s="14"/>
      <c r="H53" s="14"/>
      <c r="I53" s="14"/>
      <c r="K53" s="14"/>
    </row>
    <row r="54" spans="1:21" x14ac:dyDescent="0.25">
      <c r="A54" s="36">
        <v>1997</v>
      </c>
      <c r="B54" s="14"/>
      <c r="C54" s="14"/>
      <c r="D54" s="14"/>
      <c r="E54" s="14"/>
      <c r="F54" s="14"/>
      <c r="G54" s="14"/>
      <c r="H54" s="14"/>
      <c r="I54" s="14"/>
      <c r="K54" s="14"/>
      <c r="L54" s="12"/>
      <c r="P54" s="12"/>
      <c r="R54" s="27"/>
      <c r="S54" s="29"/>
    </row>
    <row r="55" spans="1:21" x14ac:dyDescent="0.25">
      <c r="A55" s="36">
        <v>1998</v>
      </c>
      <c r="B55" s="14"/>
      <c r="C55" s="14"/>
      <c r="D55" s="14"/>
      <c r="E55" s="14"/>
      <c r="F55" s="14"/>
      <c r="G55" s="14"/>
      <c r="H55" s="14"/>
      <c r="I55" s="14"/>
      <c r="K55" s="14"/>
      <c r="L55" s="12"/>
      <c r="R55" s="27"/>
      <c r="S55" s="29"/>
    </row>
    <row r="56" spans="1:21" x14ac:dyDescent="0.25">
      <c r="A56" s="36">
        <v>1999</v>
      </c>
      <c r="B56" s="14"/>
      <c r="C56" s="14"/>
      <c r="D56" s="14"/>
      <c r="E56" s="14"/>
      <c r="F56" s="14"/>
      <c r="G56" s="14"/>
      <c r="H56" s="14"/>
      <c r="I56" s="14"/>
      <c r="K56" s="14"/>
      <c r="L56" s="12"/>
      <c r="R56" s="27"/>
      <c r="S56" s="29"/>
    </row>
    <row r="57" spans="1:21" x14ac:dyDescent="0.25">
      <c r="A57" s="36">
        <v>2000</v>
      </c>
      <c r="B57" s="14"/>
      <c r="C57" s="14"/>
      <c r="D57" s="14"/>
      <c r="E57" s="14"/>
      <c r="F57" s="14"/>
      <c r="G57" s="14"/>
      <c r="H57" s="14"/>
      <c r="I57" s="14"/>
      <c r="K57" s="14"/>
      <c r="L57" s="12"/>
      <c r="R57" s="27"/>
      <c r="S57" s="29"/>
    </row>
    <row r="58" spans="1:21" x14ac:dyDescent="0.25">
      <c r="A58" s="36">
        <v>2001</v>
      </c>
      <c r="B58" s="14"/>
      <c r="C58" s="14"/>
      <c r="D58" s="14"/>
      <c r="E58" s="14"/>
      <c r="F58" s="14"/>
      <c r="G58" s="14"/>
      <c r="H58" s="14"/>
      <c r="I58" s="14"/>
      <c r="K58" s="14"/>
      <c r="L58" s="12"/>
      <c r="R58" s="27"/>
      <c r="S58" s="29"/>
    </row>
    <row r="59" spans="1:21" x14ac:dyDescent="0.25">
      <c r="A59" s="36">
        <v>2002</v>
      </c>
      <c r="B59" s="14"/>
      <c r="C59" s="14"/>
      <c r="D59" s="14"/>
      <c r="E59" s="14"/>
      <c r="F59" s="14"/>
      <c r="G59" s="14"/>
      <c r="H59" s="14"/>
      <c r="I59" s="14"/>
      <c r="K59" s="14"/>
      <c r="L59" s="12"/>
      <c r="R59" s="27"/>
      <c r="S59" s="29"/>
    </row>
    <row r="60" spans="1:21" x14ac:dyDescent="0.25">
      <c r="A60" s="36">
        <v>2003</v>
      </c>
      <c r="B60" s="14"/>
      <c r="C60" s="14"/>
      <c r="D60" s="14"/>
      <c r="E60" s="14"/>
      <c r="F60" s="14"/>
      <c r="G60" s="14"/>
      <c r="H60" s="14"/>
      <c r="I60" s="14"/>
      <c r="K60" s="14"/>
      <c r="L60" s="12"/>
      <c r="M60" s="28"/>
      <c r="R60" s="26"/>
      <c r="S60" s="29"/>
    </row>
    <row r="61" spans="1:21" x14ac:dyDescent="0.25">
      <c r="A61" s="36">
        <v>2004</v>
      </c>
      <c r="B61" s="14"/>
      <c r="C61" s="14"/>
      <c r="D61" s="14"/>
      <c r="E61" s="14"/>
      <c r="F61" s="14"/>
      <c r="G61" s="14"/>
      <c r="H61" s="14"/>
      <c r="I61" s="14"/>
      <c r="K61" s="14"/>
    </row>
    <row r="62" spans="1:21" x14ac:dyDescent="0.25">
      <c r="A62" s="36">
        <v>2005</v>
      </c>
      <c r="B62" s="14"/>
      <c r="C62" s="14"/>
      <c r="D62" s="14"/>
      <c r="E62" s="14"/>
      <c r="F62" s="14"/>
      <c r="G62" s="14"/>
      <c r="H62" s="14"/>
      <c r="I62" s="14"/>
      <c r="K62" s="14"/>
      <c r="S62" s="12"/>
    </row>
    <row r="63" spans="1:21" x14ac:dyDescent="0.25">
      <c r="A63" s="36">
        <v>2006</v>
      </c>
      <c r="B63" s="14"/>
      <c r="C63" s="14"/>
      <c r="D63" s="14"/>
      <c r="E63" s="14"/>
      <c r="F63" s="14"/>
      <c r="G63" s="14"/>
      <c r="H63" s="14"/>
      <c r="I63" s="14"/>
      <c r="K63" s="14"/>
    </row>
    <row r="64" spans="1:21" x14ac:dyDescent="0.25">
      <c r="A64" s="36">
        <v>2007</v>
      </c>
      <c r="B64" s="14"/>
      <c r="C64" s="14"/>
      <c r="D64" s="14"/>
      <c r="E64" s="14"/>
      <c r="F64" s="14"/>
      <c r="G64" s="14"/>
      <c r="H64" s="14"/>
      <c r="I64" s="14"/>
      <c r="K64" s="14"/>
      <c r="U64" s="12"/>
    </row>
    <row r="65" spans="1:70" x14ac:dyDescent="0.25">
      <c r="A65" s="36">
        <v>2008</v>
      </c>
      <c r="B65" s="14"/>
      <c r="C65" s="14"/>
      <c r="D65" s="14"/>
      <c r="E65" s="14"/>
      <c r="F65" s="14"/>
      <c r="G65" s="14"/>
      <c r="H65" s="14"/>
      <c r="I65" s="14"/>
      <c r="K65" s="14"/>
      <c r="U65" s="12"/>
    </row>
    <row r="66" spans="1:70" x14ac:dyDescent="0.25">
      <c r="A66" s="36">
        <v>2009</v>
      </c>
      <c r="K66" s="14"/>
      <c r="T66" s="12"/>
      <c r="U66" s="12"/>
    </row>
    <row r="67" spans="1:70" x14ac:dyDescent="0.25">
      <c r="A67" s="36">
        <v>2010</v>
      </c>
      <c r="B67" s="14">
        <v>0.18</v>
      </c>
      <c r="C67" s="14">
        <v>0.04</v>
      </c>
      <c r="D67" s="14">
        <v>0.54200000000000004</v>
      </c>
      <c r="E67" s="14">
        <v>0.16700000000000001</v>
      </c>
      <c r="F67" s="14">
        <v>8.0000000000000002E-3</v>
      </c>
      <c r="G67" s="14">
        <v>3.3000000000000002E-2</v>
      </c>
      <c r="H67" s="14">
        <v>0.14199999999999999</v>
      </c>
      <c r="I67" s="37">
        <v>3.7000000000000002E-3</v>
      </c>
      <c r="K67" s="14"/>
      <c r="T67" s="12"/>
      <c r="U67" s="12"/>
    </row>
    <row r="68" spans="1:70" x14ac:dyDescent="0.25">
      <c r="A68" s="36">
        <v>2011</v>
      </c>
      <c r="T68" s="12"/>
      <c r="U68" s="12"/>
    </row>
    <row r="69" spans="1:70" x14ac:dyDescent="0.25">
      <c r="A69" s="36">
        <v>2012</v>
      </c>
      <c r="B69" s="14"/>
      <c r="C69" s="14"/>
      <c r="D69" s="14"/>
      <c r="E69" s="14"/>
      <c r="F69" s="14"/>
      <c r="G69" s="14"/>
      <c r="H69" s="14"/>
      <c r="I69" s="14"/>
      <c r="P69" s="25"/>
      <c r="T69" s="12"/>
      <c r="U69" s="12"/>
    </row>
    <row r="70" spans="1:70" x14ac:dyDescent="0.25">
      <c r="A70" s="36">
        <v>2013</v>
      </c>
      <c r="B70" s="14"/>
      <c r="C70" s="14"/>
      <c r="D70" s="14"/>
      <c r="E70" s="14"/>
      <c r="F70" s="14"/>
      <c r="G70" s="14"/>
      <c r="H70" s="14"/>
      <c r="I70" s="14"/>
      <c r="P70" s="25"/>
      <c r="T70" s="12"/>
      <c r="U70" s="12"/>
    </row>
    <row r="71" spans="1:70" x14ac:dyDescent="0.25">
      <c r="A71" s="36">
        <v>2014</v>
      </c>
      <c r="B71" s="14"/>
      <c r="C71" s="14"/>
      <c r="D71" s="14"/>
      <c r="E71" s="14"/>
      <c r="F71" s="14"/>
      <c r="G71" s="14"/>
      <c r="H71" s="14"/>
      <c r="I71" s="14"/>
      <c r="P71" s="25"/>
      <c r="T71" s="12"/>
      <c r="U71" s="12"/>
    </row>
    <row r="72" spans="1:70" x14ac:dyDescent="0.25">
      <c r="A72" s="36">
        <v>2015</v>
      </c>
      <c r="B72" s="14"/>
      <c r="C72" s="14"/>
      <c r="D72" s="14"/>
      <c r="E72" s="14"/>
      <c r="F72" s="14"/>
      <c r="G72" s="14"/>
      <c r="H72" s="14"/>
      <c r="I72" s="14"/>
      <c r="P72" s="25"/>
    </row>
    <row r="73" spans="1:70" x14ac:dyDescent="0.25">
      <c r="A73" s="36">
        <v>2016</v>
      </c>
      <c r="B73" s="14"/>
      <c r="C73" s="14"/>
      <c r="D73" s="14"/>
      <c r="E73" s="14"/>
      <c r="F73" s="14"/>
      <c r="G73" s="14"/>
      <c r="H73" s="14"/>
      <c r="I73" s="14"/>
      <c r="P73" s="25"/>
    </row>
    <row r="74" spans="1:70" x14ac:dyDescent="0.25">
      <c r="A74" s="36">
        <v>2017</v>
      </c>
      <c r="B74" s="14"/>
      <c r="C74" s="14"/>
      <c r="D74" s="14"/>
      <c r="E74" s="14"/>
      <c r="F74" s="14"/>
      <c r="G74" s="14"/>
      <c r="H74" s="14"/>
      <c r="I74" s="14"/>
    </row>
    <row r="75" spans="1:70" x14ac:dyDescent="0.25">
      <c r="A75" s="36">
        <v>2018</v>
      </c>
      <c r="B75" s="14"/>
      <c r="C75" s="14"/>
      <c r="D75" s="14"/>
      <c r="E75" s="14"/>
      <c r="F75" s="14"/>
      <c r="G75" s="14"/>
      <c r="H75" s="14"/>
      <c r="I75" s="14"/>
    </row>
    <row r="76" spans="1:70" x14ac:dyDescent="0.25">
      <c r="A76" s="36">
        <v>2019</v>
      </c>
      <c r="B76" s="14">
        <v>0.18</v>
      </c>
      <c r="C76" s="14">
        <v>0.04</v>
      </c>
      <c r="D76" s="14">
        <v>0.54200000000000004</v>
      </c>
      <c r="E76" s="14">
        <v>0.16700000000000001</v>
      </c>
      <c r="F76" s="14">
        <v>8.0000000000000002E-3</v>
      </c>
      <c r="G76" s="14">
        <v>3.3000000000000002E-2</v>
      </c>
      <c r="H76" s="14">
        <v>0.14199999999999999</v>
      </c>
      <c r="I76" s="37">
        <v>3.7000000000000002E-3</v>
      </c>
    </row>
    <row r="77" spans="1:70" x14ac:dyDescent="0.25">
      <c r="A77" s="36">
        <v>2020</v>
      </c>
      <c r="B77" s="14"/>
      <c r="C77" s="14"/>
      <c r="D77" s="14"/>
      <c r="E77" s="14"/>
      <c r="F77" s="14"/>
      <c r="G77" s="14"/>
      <c r="H77" s="14"/>
      <c r="I77" s="14"/>
    </row>
    <row r="78" spans="1:70" s="17" customFormat="1" x14ac:dyDescent="0.25">
      <c r="A78" s="36">
        <v>2021</v>
      </c>
      <c r="B78" s="15"/>
      <c r="C78" s="15"/>
      <c r="D78" s="15"/>
      <c r="E78" s="15"/>
      <c r="F78" s="15"/>
      <c r="G78" s="15"/>
      <c r="H78" s="15"/>
      <c r="I78" s="15"/>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row>
    <row r="79" spans="1:70" s="17" customFormat="1" x14ac:dyDescent="0.25">
      <c r="A79" s="36">
        <v>2022</v>
      </c>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row>
    <row r="80" spans="1:70" s="17" customFormat="1" x14ac:dyDescent="0.25">
      <c r="A80" s="36">
        <v>2023</v>
      </c>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row>
    <row r="87" spans="1:70" s="17" customFormat="1" x14ac:dyDescent="0.25">
      <c r="A87" s="16"/>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row>
    <row r="88" spans="1:70" s="17" customFormat="1" x14ac:dyDescent="0.25">
      <c r="A88" s="16"/>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row>
  </sheetData>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K88"/>
  <sheetViews>
    <sheetView zoomScale="85" zoomScaleNormal="85" workbookViewId="0">
      <pane xSplit="1" ySplit="1" topLeftCell="B2" activePane="bottomRight" state="frozen"/>
      <selection pane="topRight" activeCell="B1" sqref="B1"/>
      <selection pane="bottomLeft" activeCell="A2" sqref="A2"/>
      <selection pane="bottomRight" activeCell="G21" sqref="G21"/>
    </sheetView>
  </sheetViews>
  <sheetFormatPr baseColWidth="10" defaultColWidth="10.7109375" defaultRowHeight="15" x14ac:dyDescent="0.25"/>
  <cols>
    <col min="1" max="1" width="8" style="16" bestFit="1" customWidth="1"/>
    <col min="2" max="4" width="15.140625" style="13" customWidth="1"/>
    <col min="5" max="16384" width="10.7109375" style="13"/>
  </cols>
  <sheetData>
    <row r="1" spans="1:5" s="18" customFormat="1" ht="30" x14ac:dyDescent="0.25">
      <c r="A1" s="34" t="s">
        <v>0</v>
      </c>
      <c r="B1" s="35" t="s">
        <v>57</v>
      </c>
      <c r="C1" s="35" t="s">
        <v>11</v>
      </c>
      <c r="D1" s="35" t="s">
        <v>12</v>
      </c>
      <c r="E1" s="18" t="s">
        <v>66</v>
      </c>
    </row>
    <row r="2" spans="1:5" x14ac:dyDescent="0.25">
      <c r="A2" s="36">
        <v>1945</v>
      </c>
      <c r="B2" s="14"/>
      <c r="C2" s="14"/>
    </row>
    <row r="3" spans="1:5" x14ac:dyDescent="0.25">
      <c r="A3" s="36">
        <v>1946</v>
      </c>
      <c r="B3" s="14"/>
    </row>
    <row r="4" spans="1:5" x14ac:dyDescent="0.25">
      <c r="A4" s="36">
        <v>1947</v>
      </c>
      <c r="B4" s="21"/>
      <c r="C4" s="21"/>
      <c r="D4" s="21"/>
    </row>
    <row r="5" spans="1:5" x14ac:dyDescent="0.25">
      <c r="A5" s="36">
        <v>1948</v>
      </c>
      <c r="B5" s="12"/>
      <c r="C5" s="12"/>
    </row>
    <row r="6" spans="1:5" x14ac:dyDescent="0.25">
      <c r="A6" s="36">
        <v>1949</v>
      </c>
      <c r="B6" s="12"/>
      <c r="C6" s="12"/>
    </row>
    <row r="7" spans="1:5" x14ac:dyDescent="0.25">
      <c r="A7" s="36">
        <v>1950</v>
      </c>
      <c r="B7" s="14">
        <v>30.977054117647054</v>
      </c>
      <c r="C7" s="14">
        <v>0.72907563025210087</v>
      </c>
      <c r="D7" s="14">
        <v>0</v>
      </c>
      <c r="E7" s="14">
        <v>31.706129747899155</v>
      </c>
    </row>
    <row r="8" spans="1:5" x14ac:dyDescent="0.25">
      <c r="A8" s="36">
        <v>1951</v>
      </c>
      <c r="B8" s="14"/>
      <c r="C8" s="14"/>
      <c r="D8" s="14"/>
    </row>
    <row r="9" spans="1:5" x14ac:dyDescent="0.25">
      <c r="A9" s="36">
        <v>1952</v>
      </c>
      <c r="B9" s="14"/>
      <c r="C9" s="14"/>
      <c r="D9" s="14"/>
    </row>
    <row r="10" spans="1:5" x14ac:dyDescent="0.25">
      <c r="A10" s="36">
        <v>1953</v>
      </c>
      <c r="B10" s="14"/>
      <c r="C10" s="14"/>
      <c r="D10" s="14"/>
    </row>
    <row r="11" spans="1:5" x14ac:dyDescent="0.25">
      <c r="A11" s="36">
        <v>1954</v>
      </c>
      <c r="B11" s="14"/>
      <c r="C11" s="14"/>
      <c r="D11" s="14"/>
    </row>
    <row r="12" spans="1:5" x14ac:dyDescent="0.25">
      <c r="A12" s="36">
        <v>1955</v>
      </c>
      <c r="B12" s="14"/>
      <c r="C12" s="14"/>
      <c r="D12" s="14"/>
    </row>
    <row r="13" spans="1:5" x14ac:dyDescent="0.25">
      <c r="A13" s="36">
        <v>1956</v>
      </c>
      <c r="B13" s="14"/>
      <c r="C13" s="14"/>
      <c r="D13" s="14"/>
    </row>
    <row r="14" spans="1:5" x14ac:dyDescent="0.25">
      <c r="A14" s="36">
        <v>1957</v>
      </c>
      <c r="B14" s="14"/>
      <c r="C14" s="14"/>
      <c r="D14" s="14"/>
    </row>
    <row r="15" spans="1:5" x14ac:dyDescent="0.25">
      <c r="A15" s="36">
        <v>1958</v>
      </c>
      <c r="B15" s="14"/>
      <c r="C15" s="14"/>
      <c r="D15" s="14"/>
    </row>
    <row r="16" spans="1:5" x14ac:dyDescent="0.25">
      <c r="A16" s="36">
        <v>1959</v>
      </c>
      <c r="B16" s="14"/>
      <c r="C16" s="14"/>
      <c r="D16" s="14"/>
    </row>
    <row r="17" spans="1:10" x14ac:dyDescent="0.25">
      <c r="A17" s="36">
        <v>1960</v>
      </c>
      <c r="B17" s="14">
        <v>21.25</v>
      </c>
      <c r="C17" s="14">
        <v>0.71</v>
      </c>
      <c r="D17" s="14">
        <v>0</v>
      </c>
      <c r="E17" s="38">
        <v>21.96</v>
      </c>
    </row>
    <row r="18" spans="1:10" x14ac:dyDescent="0.25">
      <c r="A18" s="36">
        <v>1961</v>
      </c>
      <c r="B18" s="14"/>
      <c r="C18" s="14"/>
      <c r="D18" s="14"/>
      <c r="E18" s="38">
        <v>21.78</v>
      </c>
    </row>
    <row r="19" spans="1:10" x14ac:dyDescent="0.25">
      <c r="A19" s="36">
        <v>1962</v>
      </c>
      <c r="B19" s="14"/>
      <c r="C19" s="14"/>
      <c r="D19" s="14"/>
      <c r="E19" s="38">
        <v>21.419999999999998</v>
      </c>
    </row>
    <row r="20" spans="1:10" x14ac:dyDescent="0.25">
      <c r="A20" s="36">
        <v>1963</v>
      </c>
      <c r="B20" s="14"/>
      <c r="C20" s="14"/>
      <c r="D20" s="14"/>
      <c r="E20" s="38">
        <v>20.52</v>
      </c>
    </row>
    <row r="21" spans="1:10" x14ac:dyDescent="0.25">
      <c r="A21" s="36">
        <v>1964</v>
      </c>
      <c r="B21" s="14"/>
      <c r="C21" s="14"/>
      <c r="D21" s="14"/>
      <c r="E21" s="38">
        <v>19.439999999999998</v>
      </c>
    </row>
    <row r="22" spans="1:10" x14ac:dyDescent="0.25">
      <c r="A22" s="36">
        <v>1965</v>
      </c>
      <c r="B22" s="14">
        <v>19.12</v>
      </c>
      <c r="C22" s="14">
        <v>0.5</v>
      </c>
      <c r="D22" s="14">
        <v>0</v>
      </c>
      <c r="E22" s="38">
        <v>19.62</v>
      </c>
    </row>
    <row r="23" spans="1:10" x14ac:dyDescent="0.25">
      <c r="A23" s="36">
        <v>1966</v>
      </c>
      <c r="B23" s="14"/>
      <c r="C23" s="14"/>
      <c r="D23" s="14"/>
      <c r="E23" s="38">
        <v>19.439999999999998</v>
      </c>
    </row>
    <row r="24" spans="1:10" x14ac:dyDescent="0.25">
      <c r="A24" s="36">
        <v>1967</v>
      </c>
      <c r="B24" s="14"/>
      <c r="C24" s="14"/>
      <c r="D24" s="14"/>
      <c r="E24" s="38">
        <v>18.899999999999999</v>
      </c>
    </row>
    <row r="25" spans="1:10" x14ac:dyDescent="0.25">
      <c r="A25" s="36">
        <v>1968</v>
      </c>
      <c r="B25" s="14"/>
      <c r="C25" s="14"/>
      <c r="D25" s="14"/>
      <c r="E25" s="38">
        <v>18.72</v>
      </c>
    </row>
    <row r="26" spans="1:10" x14ac:dyDescent="0.25">
      <c r="A26" s="36">
        <v>1969</v>
      </c>
      <c r="B26" s="14"/>
      <c r="C26" s="14"/>
      <c r="D26" s="14"/>
      <c r="E26" s="38">
        <v>17.28</v>
      </c>
      <c r="F26" s="21"/>
      <c r="H26" s="21"/>
      <c r="I26" s="21"/>
      <c r="J26" s="21"/>
    </row>
    <row r="27" spans="1:10" x14ac:dyDescent="0.25">
      <c r="A27" s="36">
        <v>1970</v>
      </c>
      <c r="B27" s="14">
        <v>14.61</v>
      </c>
      <c r="C27" s="14">
        <v>0.81</v>
      </c>
      <c r="D27" s="14">
        <v>1.85</v>
      </c>
      <c r="E27" s="38">
        <v>17.28</v>
      </c>
      <c r="F27" s="21"/>
      <c r="G27" s="21"/>
      <c r="H27" s="39"/>
      <c r="I27" s="39"/>
      <c r="J27" s="39"/>
    </row>
    <row r="28" spans="1:10" x14ac:dyDescent="0.25">
      <c r="A28" s="36">
        <v>1971</v>
      </c>
      <c r="B28" s="14"/>
      <c r="C28" s="14"/>
      <c r="D28" s="14"/>
      <c r="E28" s="38">
        <v>16.919999999999998</v>
      </c>
      <c r="G28" s="21"/>
      <c r="H28" s="40"/>
      <c r="I28" s="40"/>
      <c r="J28" s="40"/>
    </row>
    <row r="29" spans="1:10" x14ac:dyDescent="0.25">
      <c r="A29" s="36">
        <v>1972</v>
      </c>
      <c r="B29" s="14"/>
      <c r="C29" s="14"/>
      <c r="D29" s="14"/>
      <c r="E29" s="38">
        <v>15.12</v>
      </c>
      <c r="F29" s="21"/>
      <c r="H29" s="40"/>
      <c r="I29" s="40"/>
      <c r="J29" s="40"/>
    </row>
    <row r="30" spans="1:10" x14ac:dyDescent="0.25">
      <c r="A30" s="36">
        <v>1973</v>
      </c>
      <c r="B30" s="14"/>
      <c r="C30" s="14"/>
      <c r="D30" s="14"/>
      <c r="E30" s="38">
        <v>14.94</v>
      </c>
      <c r="F30" s="21"/>
      <c r="G30" s="21"/>
      <c r="H30" s="39"/>
      <c r="I30" s="39"/>
      <c r="J30" s="39"/>
    </row>
    <row r="31" spans="1:10" x14ac:dyDescent="0.25">
      <c r="A31" s="36">
        <v>1974</v>
      </c>
      <c r="B31" s="14"/>
      <c r="C31" s="14"/>
      <c r="D31" s="14"/>
      <c r="E31" s="38">
        <v>14.219999999999999</v>
      </c>
      <c r="G31" s="21"/>
      <c r="H31" s="40"/>
      <c r="I31" s="40"/>
      <c r="J31" s="40"/>
    </row>
    <row r="32" spans="1:10" x14ac:dyDescent="0.25">
      <c r="A32" s="36">
        <v>1975</v>
      </c>
      <c r="B32" s="14">
        <v>11.1</v>
      </c>
      <c r="C32" s="14">
        <v>0.77</v>
      </c>
      <c r="D32" s="14">
        <v>2.5299999999999998</v>
      </c>
      <c r="E32" s="38">
        <v>14.4</v>
      </c>
      <c r="H32" s="40"/>
      <c r="I32" s="40"/>
      <c r="J32" s="40"/>
    </row>
    <row r="33" spans="1:19" x14ac:dyDescent="0.25">
      <c r="A33" s="36">
        <v>1976</v>
      </c>
      <c r="B33" s="14"/>
      <c r="C33" s="14"/>
      <c r="D33" s="14"/>
      <c r="E33" s="38">
        <v>16.02</v>
      </c>
      <c r="H33" s="40"/>
      <c r="I33" s="40"/>
      <c r="J33" s="40"/>
    </row>
    <row r="34" spans="1:19" x14ac:dyDescent="0.25">
      <c r="A34" s="36">
        <v>1977</v>
      </c>
      <c r="B34" s="14"/>
      <c r="C34" s="14"/>
      <c r="D34" s="14"/>
      <c r="E34" s="38">
        <v>13.68</v>
      </c>
      <c r="H34" s="40"/>
      <c r="I34" s="40"/>
      <c r="J34" s="40"/>
    </row>
    <row r="35" spans="1:19" x14ac:dyDescent="0.25">
      <c r="A35" s="36">
        <v>1978</v>
      </c>
      <c r="B35" s="14"/>
      <c r="C35" s="14"/>
      <c r="D35" s="14"/>
      <c r="E35" s="38">
        <v>13.68</v>
      </c>
      <c r="H35" s="40"/>
      <c r="I35" s="40"/>
      <c r="J35" s="40"/>
    </row>
    <row r="36" spans="1:19" x14ac:dyDescent="0.25">
      <c r="A36" s="36">
        <v>1979</v>
      </c>
      <c r="B36" s="14"/>
      <c r="C36" s="14"/>
      <c r="D36" s="14"/>
      <c r="E36" s="38">
        <v>13.68</v>
      </c>
      <c r="H36" s="40"/>
      <c r="I36" s="40"/>
      <c r="J36" s="40"/>
      <c r="Q36" s="41"/>
    </row>
    <row r="37" spans="1:19" x14ac:dyDescent="0.25">
      <c r="A37" s="36">
        <v>1980</v>
      </c>
      <c r="B37" s="14">
        <v>9.08</v>
      </c>
      <c r="C37" s="14">
        <v>0.77</v>
      </c>
      <c r="D37" s="14">
        <v>2.75</v>
      </c>
      <c r="E37" s="38">
        <v>12.6</v>
      </c>
      <c r="H37" s="40"/>
      <c r="I37" s="40"/>
      <c r="J37" s="40"/>
    </row>
    <row r="38" spans="1:19" x14ac:dyDescent="0.25">
      <c r="A38" s="36">
        <v>1981</v>
      </c>
      <c r="B38" s="14"/>
      <c r="C38" s="14"/>
      <c r="D38" s="21"/>
      <c r="E38" s="38">
        <v>12.6</v>
      </c>
      <c r="F38" s="12"/>
      <c r="H38" s="40"/>
      <c r="I38" s="40"/>
      <c r="J38" s="40"/>
    </row>
    <row r="39" spans="1:19" x14ac:dyDescent="0.25">
      <c r="A39" s="36">
        <v>1982</v>
      </c>
      <c r="B39" s="14"/>
      <c r="C39" s="14"/>
      <c r="D39" s="14"/>
      <c r="E39" s="38">
        <v>12.6</v>
      </c>
      <c r="F39" s="12"/>
      <c r="G39" s="12"/>
      <c r="J39" s="12"/>
    </row>
    <row r="40" spans="1:19" x14ac:dyDescent="0.25">
      <c r="A40" s="36">
        <v>1983</v>
      </c>
      <c r="B40" s="14"/>
      <c r="C40" s="14"/>
      <c r="D40" s="14"/>
      <c r="E40" s="38">
        <v>11.879999999999999</v>
      </c>
      <c r="F40" s="12"/>
      <c r="G40" s="12"/>
      <c r="J40" s="12"/>
      <c r="P40" s="21"/>
      <c r="Q40" s="21"/>
      <c r="R40" s="21"/>
      <c r="S40" s="21"/>
    </row>
    <row r="41" spans="1:19" x14ac:dyDescent="0.25">
      <c r="A41" s="36">
        <v>1984</v>
      </c>
      <c r="B41" s="14"/>
      <c r="C41" s="14"/>
      <c r="D41" s="14"/>
      <c r="E41" s="38">
        <v>11.879999999999999</v>
      </c>
      <c r="F41" s="12"/>
      <c r="G41" s="12"/>
      <c r="J41" s="12"/>
    </row>
    <row r="42" spans="1:19" x14ac:dyDescent="0.25">
      <c r="A42" s="36">
        <v>1985</v>
      </c>
      <c r="B42" s="14">
        <v>7.8</v>
      </c>
      <c r="C42" s="14">
        <v>0.97</v>
      </c>
      <c r="D42" s="14">
        <v>3.48</v>
      </c>
      <c r="E42" s="38">
        <v>12.24</v>
      </c>
      <c r="F42" s="12"/>
      <c r="G42" s="12"/>
      <c r="J42" s="12"/>
    </row>
    <row r="43" spans="1:19" x14ac:dyDescent="0.25">
      <c r="A43" s="36">
        <v>1986</v>
      </c>
      <c r="B43" s="21"/>
      <c r="C43" s="21"/>
      <c r="D43" s="21"/>
      <c r="E43" s="38">
        <v>11.16</v>
      </c>
      <c r="F43" s="12"/>
      <c r="G43" s="12"/>
      <c r="J43" s="12"/>
    </row>
    <row r="44" spans="1:19" x14ac:dyDescent="0.25">
      <c r="A44" s="36">
        <v>1987</v>
      </c>
      <c r="B44" s="21"/>
      <c r="C44" s="21"/>
      <c r="D44" s="21"/>
      <c r="E44" s="38">
        <v>10.799999999999999</v>
      </c>
      <c r="F44" s="12"/>
      <c r="G44" s="12"/>
      <c r="J44" s="12"/>
    </row>
    <row r="45" spans="1:19" x14ac:dyDescent="0.25">
      <c r="A45" s="36">
        <v>1988</v>
      </c>
      <c r="B45" s="21"/>
      <c r="C45" s="21"/>
      <c r="D45" s="21"/>
      <c r="E45" s="38">
        <v>10.799999999999999</v>
      </c>
      <c r="F45" s="12"/>
      <c r="G45" s="12"/>
      <c r="J45" s="12"/>
    </row>
    <row r="46" spans="1:19" x14ac:dyDescent="0.25">
      <c r="A46" s="36">
        <v>1989</v>
      </c>
      <c r="B46" s="14"/>
      <c r="C46" s="14"/>
      <c r="D46" s="14"/>
      <c r="E46" s="38">
        <v>10.62</v>
      </c>
      <c r="F46" s="12"/>
      <c r="G46" s="12"/>
      <c r="J46" s="12"/>
    </row>
    <row r="47" spans="1:19" x14ac:dyDescent="0.25">
      <c r="A47" s="36">
        <v>1990</v>
      </c>
      <c r="B47" s="14"/>
      <c r="C47" s="14"/>
      <c r="D47" s="14"/>
      <c r="E47" s="38">
        <v>10.44</v>
      </c>
      <c r="F47" s="12"/>
      <c r="G47" s="12"/>
      <c r="J47" s="12"/>
    </row>
    <row r="48" spans="1:19" x14ac:dyDescent="0.25">
      <c r="A48" s="36">
        <v>1991</v>
      </c>
      <c r="B48" s="21">
        <v>4.78</v>
      </c>
      <c r="C48" s="21">
        <v>1.05</v>
      </c>
      <c r="D48" s="21">
        <v>4.6100000000000003</v>
      </c>
      <c r="E48" s="38">
        <v>10.44</v>
      </c>
      <c r="F48" s="12"/>
      <c r="G48" s="12"/>
      <c r="J48" s="12"/>
    </row>
    <row r="49" spans="1:10" x14ac:dyDescent="0.25">
      <c r="A49" s="36">
        <v>1992</v>
      </c>
      <c r="B49" s="21"/>
      <c r="C49" s="21"/>
      <c r="D49" s="21"/>
      <c r="F49" s="12"/>
      <c r="G49" s="12"/>
      <c r="J49" s="12"/>
    </row>
    <row r="50" spans="1:10" x14ac:dyDescent="0.25">
      <c r="A50" s="36">
        <v>1993</v>
      </c>
      <c r="B50" s="21"/>
      <c r="C50" s="21"/>
      <c r="D50" s="21"/>
      <c r="G50" s="12"/>
      <c r="J50" s="12"/>
    </row>
    <row r="51" spans="1:10" x14ac:dyDescent="0.25">
      <c r="A51" s="36">
        <v>1994</v>
      </c>
      <c r="B51" s="21"/>
      <c r="C51" s="21"/>
      <c r="D51" s="21"/>
      <c r="E51" s="21"/>
    </row>
    <row r="52" spans="1:10" x14ac:dyDescent="0.25">
      <c r="A52" s="36">
        <v>1995</v>
      </c>
    </row>
    <row r="53" spans="1:10" x14ac:dyDescent="0.25">
      <c r="A53" s="36">
        <v>1996</v>
      </c>
      <c r="B53" s="21"/>
      <c r="C53" s="21"/>
      <c r="D53" s="21"/>
      <c r="E53" s="21"/>
    </row>
    <row r="54" spans="1:10" x14ac:dyDescent="0.25">
      <c r="A54" s="36">
        <v>1997</v>
      </c>
      <c r="B54" s="21"/>
      <c r="C54" s="21"/>
      <c r="D54" s="21"/>
      <c r="E54" s="21"/>
    </row>
    <row r="55" spans="1:10" x14ac:dyDescent="0.25">
      <c r="A55" s="36">
        <v>1998</v>
      </c>
      <c r="B55" s="21"/>
      <c r="C55" s="21"/>
      <c r="D55" s="21"/>
      <c r="E55" s="21"/>
    </row>
    <row r="56" spans="1:10" x14ac:dyDescent="0.25">
      <c r="A56" s="36">
        <v>1999</v>
      </c>
      <c r="B56" s="21"/>
      <c r="C56" s="21"/>
      <c r="D56" s="21"/>
      <c r="E56" s="21"/>
    </row>
    <row r="57" spans="1:10" x14ac:dyDescent="0.25">
      <c r="A57" s="36">
        <v>2000</v>
      </c>
    </row>
    <row r="58" spans="1:10" x14ac:dyDescent="0.25">
      <c r="A58" s="36">
        <v>2001</v>
      </c>
    </row>
    <row r="59" spans="1:10" x14ac:dyDescent="0.25">
      <c r="A59" s="36">
        <v>2002</v>
      </c>
    </row>
    <row r="60" spans="1:10" x14ac:dyDescent="0.25">
      <c r="A60" s="36">
        <v>2003</v>
      </c>
    </row>
    <row r="61" spans="1:10" x14ac:dyDescent="0.25">
      <c r="A61" s="36">
        <v>2004</v>
      </c>
    </row>
    <row r="62" spans="1:10" x14ac:dyDescent="0.25">
      <c r="A62" s="36">
        <v>2005</v>
      </c>
    </row>
    <row r="63" spans="1:10" x14ac:dyDescent="0.25">
      <c r="A63" s="36">
        <v>2006</v>
      </c>
    </row>
    <row r="64" spans="1:10" x14ac:dyDescent="0.25">
      <c r="A64" s="36">
        <v>2007</v>
      </c>
      <c r="B64" s="21"/>
      <c r="C64" s="21"/>
      <c r="D64" s="21"/>
      <c r="E64" s="21"/>
    </row>
    <row r="65" spans="1:63" x14ac:dyDescent="0.25">
      <c r="A65" s="36">
        <v>2008</v>
      </c>
    </row>
    <row r="66" spans="1:63" x14ac:dyDescent="0.25">
      <c r="A66" s="36">
        <v>2009</v>
      </c>
      <c r="B66" s="21"/>
      <c r="C66" s="21"/>
      <c r="D66" s="21"/>
      <c r="E66" s="12"/>
    </row>
    <row r="67" spans="1:63" x14ac:dyDescent="0.25">
      <c r="A67" s="36">
        <v>2010</v>
      </c>
      <c r="B67" s="21">
        <v>2.1</v>
      </c>
      <c r="C67" s="21">
        <v>0.9</v>
      </c>
      <c r="D67" s="21">
        <v>6.1</v>
      </c>
      <c r="E67" s="14">
        <v>9.1</v>
      </c>
    </row>
    <row r="68" spans="1:63" x14ac:dyDescent="0.25">
      <c r="A68" s="36">
        <v>2011</v>
      </c>
    </row>
    <row r="69" spans="1:63" x14ac:dyDescent="0.25">
      <c r="A69" s="36">
        <v>2012</v>
      </c>
      <c r="B69" s="21"/>
      <c r="C69" s="21"/>
      <c r="D69" s="21"/>
    </row>
    <row r="70" spans="1:63" x14ac:dyDescent="0.25">
      <c r="A70" s="36">
        <v>2013</v>
      </c>
      <c r="B70" s="21"/>
      <c r="C70" s="21"/>
      <c r="D70" s="21"/>
    </row>
    <row r="71" spans="1:63" x14ac:dyDescent="0.25">
      <c r="A71" s="36">
        <v>2014</v>
      </c>
      <c r="B71" s="21"/>
      <c r="C71" s="21"/>
      <c r="D71" s="21"/>
    </row>
    <row r="72" spans="1:63" x14ac:dyDescent="0.25">
      <c r="A72" s="36">
        <v>2015</v>
      </c>
      <c r="B72" s="21"/>
      <c r="C72" s="21"/>
      <c r="D72" s="21"/>
    </row>
    <row r="73" spans="1:63" x14ac:dyDescent="0.25">
      <c r="A73" s="36">
        <v>2016</v>
      </c>
      <c r="B73" s="21"/>
      <c r="C73" s="21"/>
      <c r="D73" s="21"/>
    </row>
    <row r="74" spans="1:63" x14ac:dyDescent="0.25">
      <c r="A74" s="36">
        <v>2017</v>
      </c>
    </row>
    <row r="75" spans="1:63" x14ac:dyDescent="0.25">
      <c r="A75" s="36">
        <v>2018</v>
      </c>
    </row>
    <row r="76" spans="1:63" x14ac:dyDescent="0.25">
      <c r="A76" s="36">
        <v>2019</v>
      </c>
      <c r="B76" s="21">
        <v>2.1</v>
      </c>
      <c r="C76" s="21">
        <v>0.9</v>
      </c>
      <c r="D76" s="21">
        <v>6.1</v>
      </c>
      <c r="E76" s="14">
        <v>9.1</v>
      </c>
    </row>
    <row r="77" spans="1:63" x14ac:dyDescent="0.25">
      <c r="A77" s="36">
        <v>2020</v>
      </c>
    </row>
    <row r="78" spans="1:63" s="17" customFormat="1" x14ac:dyDescent="0.25">
      <c r="A78" s="36">
        <v>2021</v>
      </c>
      <c r="B78" s="13"/>
      <c r="C78" s="13"/>
      <c r="D78" s="13"/>
      <c r="E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row>
    <row r="79" spans="1:63" s="17" customFormat="1" x14ac:dyDescent="0.25">
      <c r="A79" s="36">
        <v>2022</v>
      </c>
      <c r="B79" s="13"/>
      <c r="C79" s="13"/>
      <c r="D79" s="13"/>
      <c r="E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row>
    <row r="80" spans="1:63" s="17" customFormat="1" x14ac:dyDescent="0.25">
      <c r="A80" s="36">
        <v>2023</v>
      </c>
      <c r="B80" s="13"/>
      <c r="C80" s="13"/>
      <c r="D80" s="13"/>
      <c r="E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row>
    <row r="87" spans="1:63" s="17" customFormat="1" x14ac:dyDescent="0.25">
      <c r="A87" s="16"/>
      <c r="B87" s="13"/>
      <c r="C87" s="13"/>
      <c r="D87" s="13"/>
      <c r="E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row>
    <row r="88" spans="1:63" s="17" customFormat="1" x14ac:dyDescent="0.25">
      <c r="A88" s="16"/>
      <c r="B88" s="13"/>
      <c r="C88" s="13"/>
      <c r="D88" s="13"/>
      <c r="E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row>
  </sheetData>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88"/>
  <sheetViews>
    <sheetView zoomScale="70" zoomScaleNormal="70" workbookViewId="0">
      <pane xSplit="1" ySplit="1" topLeftCell="B23" activePane="bottomRight" state="frozen"/>
      <selection pane="topRight" activeCell="B1" sqref="B1"/>
      <selection pane="bottomLeft" activeCell="A2" sqref="A2"/>
      <selection pane="bottomRight" activeCell="J79" sqref="J79"/>
    </sheetView>
  </sheetViews>
  <sheetFormatPr baseColWidth="10" defaultColWidth="10.7109375" defaultRowHeight="15" x14ac:dyDescent="0.25"/>
  <cols>
    <col min="1" max="1" width="7.42578125" style="2" customWidth="1"/>
    <col min="2" max="2" width="21.28515625" style="1" customWidth="1"/>
    <col min="3" max="16384" width="10.7109375" style="1"/>
  </cols>
  <sheetData>
    <row r="1" spans="1:4" s="3" customFormat="1" x14ac:dyDescent="0.25">
      <c r="A1" s="9" t="s">
        <v>0</v>
      </c>
      <c r="B1" s="5" t="s">
        <v>6</v>
      </c>
    </row>
    <row r="2" spans="1:4" x14ac:dyDescent="0.25">
      <c r="A2" s="8">
        <v>1945</v>
      </c>
    </row>
    <row r="3" spans="1:4" x14ac:dyDescent="0.25">
      <c r="A3" s="8">
        <v>1946</v>
      </c>
    </row>
    <row r="4" spans="1:4" x14ac:dyDescent="0.25">
      <c r="A4" s="8">
        <v>1947</v>
      </c>
      <c r="B4" s="1">
        <v>2970</v>
      </c>
    </row>
    <row r="5" spans="1:4" x14ac:dyDescent="0.25">
      <c r="A5" s="8">
        <v>1948</v>
      </c>
    </row>
    <row r="6" spans="1:4" x14ac:dyDescent="0.25">
      <c r="A6" s="8">
        <v>1949</v>
      </c>
    </row>
    <row r="7" spans="1:4" x14ac:dyDescent="0.25">
      <c r="A7" s="8">
        <v>1950</v>
      </c>
      <c r="B7" s="1">
        <v>2950</v>
      </c>
      <c r="D7" s="42"/>
    </row>
    <row r="8" spans="1:4" x14ac:dyDescent="0.25">
      <c r="A8" s="8">
        <v>1951</v>
      </c>
      <c r="D8" s="42"/>
    </row>
    <row r="9" spans="1:4" x14ac:dyDescent="0.25">
      <c r="A9" s="8">
        <v>1952</v>
      </c>
      <c r="D9" s="42"/>
    </row>
    <row r="10" spans="1:4" x14ac:dyDescent="0.25">
      <c r="A10" s="8">
        <v>1953</v>
      </c>
      <c r="D10" s="42"/>
    </row>
    <row r="11" spans="1:4" x14ac:dyDescent="0.25">
      <c r="A11" s="8">
        <v>1954</v>
      </c>
      <c r="D11" s="42"/>
    </row>
    <row r="12" spans="1:4" x14ac:dyDescent="0.25">
      <c r="A12" s="8">
        <v>1955</v>
      </c>
      <c r="D12" s="42"/>
    </row>
    <row r="13" spans="1:4" x14ac:dyDescent="0.25">
      <c r="A13" s="8">
        <v>1956</v>
      </c>
      <c r="D13" s="42"/>
    </row>
    <row r="14" spans="1:4" x14ac:dyDescent="0.25">
      <c r="A14" s="8">
        <v>1957</v>
      </c>
      <c r="D14" s="42"/>
    </row>
    <row r="15" spans="1:4" x14ac:dyDescent="0.25">
      <c r="A15" s="8">
        <v>1958</v>
      </c>
      <c r="D15" s="42"/>
    </row>
    <row r="16" spans="1:4" x14ac:dyDescent="0.25">
      <c r="A16" s="8">
        <v>1959</v>
      </c>
      <c r="D16" s="42"/>
    </row>
    <row r="17" spans="1:26" x14ac:dyDescent="0.25">
      <c r="A17" s="8">
        <v>1960</v>
      </c>
      <c r="B17" s="42">
        <v>2055</v>
      </c>
      <c r="D17" s="42"/>
    </row>
    <row r="18" spans="1:26" x14ac:dyDescent="0.25">
      <c r="A18" s="8">
        <v>1961</v>
      </c>
      <c r="B18" s="42"/>
    </row>
    <row r="19" spans="1:26" x14ac:dyDescent="0.25">
      <c r="A19" s="8">
        <v>1962</v>
      </c>
      <c r="B19" s="42"/>
    </row>
    <row r="20" spans="1:26" x14ac:dyDescent="0.25">
      <c r="A20" s="8">
        <v>1963</v>
      </c>
      <c r="B20" s="42"/>
    </row>
    <row r="21" spans="1:26" x14ac:dyDescent="0.25">
      <c r="A21" s="8">
        <v>1964</v>
      </c>
      <c r="B21" s="42"/>
    </row>
    <row r="22" spans="1:26" x14ac:dyDescent="0.25">
      <c r="A22" s="8">
        <v>1965</v>
      </c>
      <c r="B22" s="42">
        <v>1815</v>
      </c>
    </row>
    <row r="23" spans="1:26" x14ac:dyDescent="0.25">
      <c r="A23" s="8">
        <v>1966</v>
      </c>
      <c r="B23" s="42"/>
      <c r="Z23" s="1" t="s">
        <v>67</v>
      </c>
    </row>
    <row r="24" spans="1:26" x14ac:dyDescent="0.25">
      <c r="A24" s="8">
        <v>1967</v>
      </c>
      <c r="B24" s="42"/>
    </row>
    <row r="25" spans="1:26" x14ac:dyDescent="0.25">
      <c r="A25" s="8">
        <v>1968</v>
      </c>
      <c r="B25" s="42"/>
    </row>
    <row r="26" spans="1:26" x14ac:dyDescent="0.25">
      <c r="A26" s="8">
        <v>1969</v>
      </c>
      <c r="B26" s="42"/>
    </row>
    <row r="27" spans="1:26" x14ac:dyDescent="0.25">
      <c r="A27" s="8">
        <v>1970</v>
      </c>
      <c r="B27" s="42">
        <v>1595</v>
      </c>
    </row>
    <row r="28" spans="1:26" x14ac:dyDescent="0.25">
      <c r="A28" s="8">
        <v>1971</v>
      </c>
      <c r="B28" s="42"/>
    </row>
    <row r="29" spans="1:26" x14ac:dyDescent="0.25">
      <c r="A29" s="8">
        <v>1972</v>
      </c>
      <c r="B29" s="42"/>
    </row>
    <row r="30" spans="1:26" x14ac:dyDescent="0.25">
      <c r="A30" s="8">
        <v>1973</v>
      </c>
      <c r="B30" s="42"/>
    </row>
    <row r="31" spans="1:26" x14ac:dyDescent="0.25">
      <c r="A31" s="8">
        <v>1974</v>
      </c>
      <c r="B31" s="42"/>
    </row>
    <row r="32" spans="1:26" x14ac:dyDescent="0.25">
      <c r="A32" s="8">
        <v>1975</v>
      </c>
      <c r="B32" s="42">
        <v>1280</v>
      </c>
    </row>
    <row r="33" spans="1:2" x14ac:dyDescent="0.25">
      <c r="A33" s="8">
        <v>1976</v>
      </c>
      <c r="B33" s="42"/>
    </row>
    <row r="34" spans="1:2" x14ac:dyDescent="0.25">
      <c r="A34" s="8">
        <v>1977</v>
      </c>
      <c r="B34" s="42"/>
    </row>
    <row r="35" spans="1:2" x14ac:dyDescent="0.25">
      <c r="A35" s="8">
        <v>1978</v>
      </c>
      <c r="B35" s="42"/>
    </row>
    <row r="36" spans="1:2" x14ac:dyDescent="0.25">
      <c r="A36" s="8">
        <v>1979</v>
      </c>
      <c r="B36" s="42"/>
    </row>
    <row r="37" spans="1:2" x14ac:dyDescent="0.25">
      <c r="A37" s="8">
        <v>1980</v>
      </c>
      <c r="B37" s="42">
        <v>1070</v>
      </c>
    </row>
    <row r="38" spans="1:2" x14ac:dyDescent="0.25">
      <c r="A38" s="8">
        <v>1981</v>
      </c>
      <c r="B38" s="42"/>
    </row>
    <row r="39" spans="1:2" x14ac:dyDescent="0.25">
      <c r="A39" s="8">
        <v>1982</v>
      </c>
      <c r="B39" s="42"/>
    </row>
    <row r="40" spans="1:2" x14ac:dyDescent="0.25">
      <c r="A40" s="8">
        <v>1983</v>
      </c>
      <c r="B40" s="42"/>
    </row>
    <row r="41" spans="1:2" x14ac:dyDescent="0.25">
      <c r="A41" s="8">
        <v>1984</v>
      </c>
      <c r="B41" s="42"/>
    </row>
    <row r="42" spans="1:2" x14ac:dyDescent="0.25">
      <c r="A42" s="8">
        <v>1985</v>
      </c>
      <c r="B42" s="42">
        <v>950</v>
      </c>
    </row>
    <row r="43" spans="1:2" x14ac:dyDescent="0.25">
      <c r="A43" s="8">
        <v>1986</v>
      </c>
      <c r="B43" s="42"/>
    </row>
    <row r="44" spans="1:2" x14ac:dyDescent="0.25">
      <c r="A44" s="8">
        <v>1987</v>
      </c>
      <c r="B44" s="42"/>
    </row>
    <row r="45" spans="1:2" x14ac:dyDescent="0.25">
      <c r="A45" s="8">
        <v>1988</v>
      </c>
      <c r="B45" s="42"/>
    </row>
    <row r="46" spans="1:2" x14ac:dyDescent="0.25">
      <c r="A46" s="8">
        <v>1989</v>
      </c>
      <c r="B46" s="42"/>
    </row>
    <row r="47" spans="1:2" x14ac:dyDescent="0.25">
      <c r="A47" s="8">
        <v>1990</v>
      </c>
      <c r="B47" s="42">
        <v>820</v>
      </c>
    </row>
    <row r="48" spans="1:2" x14ac:dyDescent="0.25">
      <c r="A48" s="8">
        <v>1991</v>
      </c>
      <c r="B48" s="42"/>
    </row>
    <row r="49" spans="1:2" x14ac:dyDescent="0.25">
      <c r="A49" s="8">
        <v>1992</v>
      </c>
      <c r="B49" s="42"/>
    </row>
    <row r="50" spans="1:2" x14ac:dyDescent="0.25">
      <c r="A50" s="8">
        <v>1993</v>
      </c>
      <c r="B50" s="42"/>
    </row>
    <row r="51" spans="1:2" x14ac:dyDescent="0.25">
      <c r="A51" s="8">
        <v>1994</v>
      </c>
      <c r="B51" s="42"/>
    </row>
    <row r="52" spans="1:2" x14ac:dyDescent="0.25">
      <c r="A52" s="8">
        <v>1995</v>
      </c>
      <c r="B52" s="42">
        <v>845</v>
      </c>
    </row>
    <row r="53" spans="1:2" x14ac:dyDescent="0.25">
      <c r="A53" s="8">
        <v>1996</v>
      </c>
      <c r="B53" s="42"/>
    </row>
    <row r="54" spans="1:2" x14ac:dyDescent="0.25">
      <c r="A54" s="8">
        <v>1997</v>
      </c>
      <c r="B54" s="42"/>
    </row>
    <row r="55" spans="1:2" x14ac:dyDescent="0.25">
      <c r="A55" s="8">
        <v>1998</v>
      </c>
      <c r="B55" s="42"/>
    </row>
    <row r="56" spans="1:2" x14ac:dyDescent="0.25">
      <c r="A56" s="8">
        <v>1999</v>
      </c>
      <c r="B56" s="42"/>
    </row>
    <row r="57" spans="1:2" x14ac:dyDescent="0.25">
      <c r="A57" s="8">
        <v>2000</v>
      </c>
      <c r="B57" s="42">
        <v>725</v>
      </c>
    </row>
    <row r="58" spans="1:2" x14ac:dyDescent="0.25">
      <c r="A58" s="8">
        <v>2001</v>
      </c>
      <c r="B58" s="42"/>
    </row>
    <row r="59" spans="1:2" x14ac:dyDescent="0.25">
      <c r="A59" s="8">
        <v>2002</v>
      </c>
      <c r="B59" s="42"/>
    </row>
    <row r="60" spans="1:2" x14ac:dyDescent="0.25">
      <c r="A60" s="8">
        <v>2003</v>
      </c>
      <c r="B60" s="42"/>
    </row>
    <row r="61" spans="1:2" x14ac:dyDescent="0.25">
      <c r="A61" s="8">
        <v>2004</v>
      </c>
      <c r="B61" s="42"/>
    </row>
    <row r="62" spans="1:2" x14ac:dyDescent="0.25">
      <c r="A62" s="8">
        <v>2005</v>
      </c>
      <c r="B62" s="42">
        <v>690</v>
      </c>
    </row>
    <row r="63" spans="1:2" x14ac:dyDescent="0.25">
      <c r="A63" s="8">
        <v>2006</v>
      </c>
      <c r="B63" s="42"/>
    </row>
    <row r="64" spans="1:2" x14ac:dyDescent="0.25">
      <c r="A64" s="8">
        <v>2007</v>
      </c>
      <c r="B64" s="1">
        <v>655</v>
      </c>
    </row>
    <row r="65" spans="1:54" x14ac:dyDescent="0.25">
      <c r="A65" s="8">
        <v>2008</v>
      </c>
    </row>
    <row r="66" spans="1:54" x14ac:dyDescent="0.25">
      <c r="A66" s="8">
        <v>2009</v>
      </c>
    </row>
    <row r="67" spans="1:54" x14ac:dyDescent="0.25">
      <c r="A67" s="8">
        <v>2010</v>
      </c>
      <c r="B67" s="1">
        <v>625</v>
      </c>
    </row>
    <row r="68" spans="1:54" x14ac:dyDescent="0.25">
      <c r="A68" s="8">
        <v>2011</v>
      </c>
    </row>
    <row r="69" spans="1:54" x14ac:dyDescent="0.25">
      <c r="A69" s="8">
        <v>2012</v>
      </c>
    </row>
    <row r="70" spans="1:54" x14ac:dyDescent="0.25">
      <c r="A70" s="8">
        <v>2013</v>
      </c>
    </row>
    <row r="71" spans="1:54" x14ac:dyDescent="0.25">
      <c r="A71" s="8">
        <v>2014</v>
      </c>
    </row>
    <row r="72" spans="1:54" x14ac:dyDescent="0.25">
      <c r="A72" s="8">
        <v>2015</v>
      </c>
      <c r="B72" s="1">
        <v>595</v>
      </c>
    </row>
    <row r="73" spans="1:54" x14ac:dyDescent="0.25">
      <c r="A73" s="8">
        <v>2016</v>
      </c>
    </row>
    <row r="74" spans="1:54" x14ac:dyDescent="0.25">
      <c r="A74" s="8">
        <v>2017</v>
      </c>
    </row>
    <row r="75" spans="1:54" x14ac:dyDescent="0.25">
      <c r="A75" s="8">
        <v>2018</v>
      </c>
      <c r="B75" s="1">
        <v>575</v>
      </c>
    </row>
    <row r="76" spans="1:54" x14ac:dyDescent="0.25">
      <c r="A76" s="8">
        <v>2019</v>
      </c>
    </row>
    <row r="77" spans="1:54" x14ac:dyDescent="0.25">
      <c r="A77" s="8">
        <v>2020</v>
      </c>
    </row>
    <row r="78" spans="1:54" s="4" customFormat="1" x14ac:dyDescent="0.25">
      <c r="A78" s="8">
        <v>2021</v>
      </c>
      <c r="B78" s="1"/>
      <c r="C78" s="1"/>
      <c r="D78" s="1"/>
      <c r="E78" s="1"/>
      <c r="F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row>
    <row r="79" spans="1:54" s="4" customFormat="1" x14ac:dyDescent="0.25">
      <c r="A79" s="8">
        <v>2022</v>
      </c>
      <c r="B79" s="1"/>
      <c r="C79" s="1"/>
      <c r="D79" s="1"/>
      <c r="E79" s="1"/>
      <c r="F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row>
    <row r="80" spans="1:54" s="4" customFormat="1" x14ac:dyDescent="0.25">
      <c r="A80" s="8">
        <v>2023</v>
      </c>
      <c r="B80" s="1"/>
      <c r="C80" s="1"/>
      <c r="D80" s="1"/>
      <c r="E80" s="1"/>
      <c r="F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row>
    <row r="87" spans="1:54" s="4" customFormat="1" x14ac:dyDescent="0.25">
      <c r="A87" s="2"/>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row>
    <row r="88" spans="1:54" s="4" customFormat="1" x14ac:dyDescent="0.25">
      <c r="A88" s="2"/>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row>
  </sheetData>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80"/>
  <sheetViews>
    <sheetView zoomScale="85" zoomScaleNormal="85" workbookViewId="0">
      <pane xSplit="1" ySplit="1" topLeftCell="B26" activePane="bottomRight" state="frozen"/>
      <selection pane="topRight" activeCell="B1" sqref="B1"/>
      <selection pane="bottomLeft" activeCell="A2" sqref="A2"/>
      <selection pane="bottomRight" activeCell="M78" sqref="M78"/>
    </sheetView>
  </sheetViews>
  <sheetFormatPr baseColWidth="10" defaultColWidth="13.5703125" defaultRowHeight="15" x14ac:dyDescent="0.25"/>
  <cols>
    <col min="1" max="1" width="7" style="2" customWidth="1"/>
    <col min="2" max="2" width="15.7109375" style="1" bestFit="1" customWidth="1"/>
    <col min="3" max="16384" width="13.5703125" style="1"/>
  </cols>
  <sheetData>
    <row r="1" spans="1:3" s="3" customFormat="1" x14ac:dyDescent="0.25">
      <c r="A1" s="54" t="s">
        <v>0</v>
      </c>
      <c r="B1" s="5" t="s">
        <v>1</v>
      </c>
      <c r="C1" s="5" t="s">
        <v>79</v>
      </c>
    </row>
    <row r="2" spans="1:3" x14ac:dyDescent="0.25">
      <c r="A2" s="2">
        <v>1945</v>
      </c>
    </row>
    <row r="3" spans="1:3" x14ac:dyDescent="0.25">
      <c r="A3" s="2">
        <v>1946</v>
      </c>
      <c r="B3" s="1">
        <v>0</v>
      </c>
    </row>
    <row r="4" spans="1:3" x14ac:dyDescent="0.25">
      <c r="A4" s="2">
        <v>1947</v>
      </c>
    </row>
    <row r="5" spans="1:3" x14ac:dyDescent="0.25">
      <c r="A5" s="2">
        <v>1948</v>
      </c>
    </row>
    <row r="6" spans="1:3" x14ac:dyDescent="0.25">
      <c r="A6" s="2">
        <v>1949</v>
      </c>
    </row>
    <row r="7" spans="1:3" x14ac:dyDescent="0.25">
      <c r="A7" s="2">
        <v>1950</v>
      </c>
    </row>
    <row r="8" spans="1:3" x14ac:dyDescent="0.25">
      <c r="A8" s="2">
        <v>1951</v>
      </c>
    </row>
    <row r="9" spans="1:3" x14ac:dyDescent="0.25">
      <c r="A9" s="2">
        <v>1952</v>
      </c>
    </row>
    <row r="10" spans="1:3" x14ac:dyDescent="0.25">
      <c r="A10" s="2">
        <v>1953</v>
      </c>
    </row>
    <row r="11" spans="1:3" x14ac:dyDescent="0.25">
      <c r="A11" s="2">
        <v>1954</v>
      </c>
    </row>
    <row r="12" spans="1:3" x14ac:dyDescent="0.25">
      <c r="A12" s="2">
        <v>1955</v>
      </c>
    </row>
    <row r="13" spans="1:3" x14ac:dyDescent="0.25">
      <c r="A13" s="2">
        <v>1956</v>
      </c>
    </row>
    <row r="14" spans="1:3" x14ac:dyDescent="0.25">
      <c r="A14" s="2">
        <v>1957</v>
      </c>
    </row>
    <row r="15" spans="1:3" x14ac:dyDescent="0.25">
      <c r="A15" s="2">
        <v>1958</v>
      </c>
      <c r="B15" s="24">
        <f>50</f>
        <v>50</v>
      </c>
    </row>
    <row r="16" spans="1:3" x14ac:dyDescent="0.25">
      <c r="A16" s="2">
        <v>1959</v>
      </c>
    </row>
    <row r="17" spans="1:2" x14ac:dyDescent="0.25">
      <c r="A17" s="2">
        <v>1960</v>
      </c>
    </row>
    <row r="18" spans="1:2" x14ac:dyDescent="0.25">
      <c r="A18" s="2">
        <v>1961</v>
      </c>
    </row>
    <row r="19" spans="1:2" x14ac:dyDescent="0.25">
      <c r="A19" s="2">
        <v>1962</v>
      </c>
    </row>
    <row r="20" spans="1:2" x14ac:dyDescent="0.25">
      <c r="A20" s="2">
        <v>1963</v>
      </c>
    </row>
    <row r="21" spans="1:2" x14ac:dyDescent="0.25">
      <c r="A21" s="2">
        <v>1964</v>
      </c>
    </row>
    <row r="22" spans="1:2" x14ac:dyDescent="0.25">
      <c r="A22" s="2">
        <v>1965</v>
      </c>
    </row>
    <row r="23" spans="1:2" x14ac:dyDescent="0.25">
      <c r="A23" s="2">
        <v>1966</v>
      </c>
    </row>
    <row r="24" spans="1:2" x14ac:dyDescent="0.25">
      <c r="A24" s="2">
        <v>1967</v>
      </c>
    </row>
    <row r="25" spans="1:2" x14ac:dyDescent="0.25">
      <c r="A25" s="2">
        <v>1968</v>
      </c>
    </row>
    <row r="26" spans="1:2" x14ac:dyDescent="0.25">
      <c r="A26" s="2">
        <v>1969</v>
      </c>
    </row>
    <row r="27" spans="1:2" x14ac:dyDescent="0.25">
      <c r="A27" s="2">
        <v>1970</v>
      </c>
      <c r="B27" s="6">
        <v>680</v>
      </c>
    </row>
    <row r="28" spans="1:2" x14ac:dyDescent="0.25">
      <c r="A28" s="2">
        <v>1971</v>
      </c>
      <c r="B28" s="6">
        <v>620</v>
      </c>
    </row>
    <row r="29" spans="1:2" x14ac:dyDescent="0.25">
      <c r="A29" s="2">
        <v>1972</v>
      </c>
      <c r="B29" s="6">
        <v>650</v>
      </c>
    </row>
    <row r="30" spans="1:2" x14ac:dyDescent="0.25">
      <c r="A30" s="2">
        <v>1973</v>
      </c>
      <c r="B30" s="6">
        <v>770</v>
      </c>
    </row>
    <row r="31" spans="1:2" x14ac:dyDescent="0.25">
      <c r="A31" s="2">
        <v>1974</v>
      </c>
      <c r="B31" s="6">
        <v>1050</v>
      </c>
    </row>
    <row r="32" spans="1:2" x14ac:dyDescent="0.25">
      <c r="A32" s="2">
        <v>1975</v>
      </c>
      <c r="B32" s="6">
        <v>1275</v>
      </c>
    </row>
    <row r="33" spans="1:2" x14ac:dyDescent="0.25">
      <c r="A33" s="2">
        <v>1976</v>
      </c>
      <c r="B33" s="6">
        <v>1570</v>
      </c>
    </row>
    <row r="34" spans="1:2" x14ac:dyDescent="0.25">
      <c r="A34" s="2">
        <v>1977</v>
      </c>
      <c r="B34" s="6">
        <v>1830</v>
      </c>
    </row>
    <row r="35" spans="1:2" x14ac:dyDescent="0.25">
      <c r="A35" s="2">
        <v>1978</v>
      </c>
      <c r="B35" s="6">
        <v>1850</v>
      </c>
    </row>
    <row r="36" spans="1:2" x14ac:dyDescent="0.25">
      <c r="A36" s="2">
        <v>1979</v>
      </c>
      <c r="B36" s="6">
        <v>1850</v>
      </c>
    </row>
    <row r="37" spans="1:2" x14ac:dyDescent="0.25">
      <c r="A37" s="2">
        <v>1980</v>
      </c>
      <c r="B37" s="6">
        <v>2500</v>
      </c>
    </row>
    <row r="38" spans="1:2" x14ac:dyDescent="0.25">
      <c r="A38" s="2">
        <v>1981</v>
      </c>
      <c r="B38" s="6">
        <v>2100</v>
      </c>
    </row>
    <row r="39" spans="1:2" x14ac:dyDescent="0.25">
      <c r="A39" s="2">
        <v>1982</v>
      </c>
      <c r="B39" s="6">
        <v>1900</v>
      </c>
    </row>
    <row r="40" spans="1:2" x14ac:dyDescent="0.25">
      <c r="A40" s="2">
        <v>1983</v>
      </c>
      <c r="B40" s="6"/>
    </row>
    <row r="41" spans="1:2" x14ac:dyDescent="0.25">
      <c r="A41" s="2">
        <v>1984</v>
      </c>
      <c r="B41" s="6"/>
    </row>
    <row r="42" spans="1:2" x14ac:dyDescent="0.25">
      <c r="A42" s="2">
        <v>1985</v>
      </c>
      <c r="B42" s="6"/>
    </row>
    <row r="43" spans="1:2" x14ac:dyDescent="0.25">
      <c r="A43" s="2">
        <v>1986</v>
      </c>
      <c r="B43" s="6"/>
    </row>
    <row r="44" spans="1:2" x14ac:dyDescent="0.25">
      <c r="A44" s="2">
        <v>1987</v>
      </c>
    </row>
    <row r="45" spans="1:2" x14ac:dyDescent="0.25">
      <c r="A45" s="2">
        <v>1988</v>
      </c>
    </row>
    <row r="46" spans="1:2" x14ac:dyDescent="0.25">
      <c r="A46" s="2">
        <v>1989</v>
      </c>
    </row>
    <row r="47" spans="1:2" x14ac:dyDescent="0.25">
      <c r="A47" s="2">
        <v>1990</v>
      </c>
    </row>
    <row r="48" spans="1:2" x14ac:dyDescent="0.25">
      <c r="A48" s="2">
        <v>1991</v>
      </c>
    </row>
    <row r="49" spans="1:1" x14ac:dyDescent="0.25">
      <c r="A49" s="2">
        <v>1992</v>
      </c>
    </row>
    <row r="50" spans="1:1" x14ac:dyDescent="0.25">
      <c r="A50" s="2">
        <v>1993</v>
      </c>
    </row>
    <row r="51" spans="1:1" x14ac:dyDescent="0.25">
      <c r="A51" s="2">
        <v>1994</v>
      </c>
    </row>
    <row r="52" spans="1:1" x14ac:dyDescent="0.25">
      <c r="A52" s="2">
        <v>1995</v>
      </c>
    </row>
    <row r="53" spans="1:1" x14ac:dyDescent="0.25">
      <c r="A53" s="2">
        <v>1996</v>
      </c>
    </row>
    <row r="54" spans="1:1" x14ac:dyDescent="0.25">
      <c r="A54" s="2">
        <v>1997</v>
      </c>
    </row>
    <row r="55" spans="1:1" x14ac:dyDescent="0.25">
      <c r="A55" s="2">
        <v>1998</v>
      </c>
    </row>
    <row r="56" spans="1:1" x14ac:dyDescent="0.25">
      <c r="A56" s="2">
        <v>1999</v>
      </c>
    </row>
    <row r="57" spans="1:1" x14ac:dyDescent="0.25">
      <c r="A57" s="2">
        <v>2000</v>
      </c>
    </row>
    <row r="58" spans="1:1" x14ac:dyDescent="0.25">
      <c r="A58" s="2">
        <v>2001</v>
      </c>
    </row>
    <row r="59" spans="1:1" x14ac:dyDescent="0.25">
      <c r="A59" s="2">
        <v>2002</v>
      </c>
    </row>
    <row r="60" spans="1:1" x14ac:dyDescent="0.25">
      <c r="A60" s="2">
        <v>2003</v>
      </c>
    </row>
    <row r="61" spans="1:1" x14ac:dyDescent="0.25">
      <c r="A61" s="2">
        <v>2004</v>
      </c>
    </row>
    <row r="62" spans="1:1" x14ac:dyDescent="0.25">
      <c r="A62" s="2">
        <v>2005</v>
      </c>
    </row>
    <row r="63" spans="1:1" x14ac:dyDescent="0.25">
      <c r="A63" s="2">
        <v>2006</v>
      </c>
    </row>
    <row r="64" spans="1:1" x14ac:dyDescent="0.25">
      <c r="A64" s="2">
        <v>2007</v>
      </c>
    </row>
    <row r="65" spans="1:1" x14ac:dyDescent="0.25">
      <c r="A65" s="2">
        <v>2008</v>
      </c>
    </row>
    <row r="66" spans="1:1" x14ac:dyDescent="0.25">
      <c r="A66" s="2">
        <v>2009</v>
      </c>
    </row>
    <row r="67" spans="1:1" x14ac:dyDescent="0.25">
      <c r="A67" s="2">
        <v>2010</v>
      </c>
    </row>
    <row r="68" spans="1:1" x14ac:dyDescent="0.25">
      <c r="A68" s="2">
        <v>2011</v>
      </c>
    </row>
    <row r="69" spans="1:1" x14ac:dyDescent="0.25">
      <c r="A69" s="2">
        <v>2012</v>
      </c>
    </row>
    <row r="70" spans="1:1" x14ac:dyDescent="0.25">
      <c r="A70" s="2">
        <v>2013</v>
      </c>
    </row>
    <row r="71" spans="1:1" x14ac:dyDescent="0.25">
      <c r="A71" s="2">
        <v>2014</v>
      </c>
    </row>
    <row r="72" spans="1:1" x14ac:dyDescent="0.25">
      <c r="A72" s="2">
        <v>2015</v>
      </c>
    </row>
    <row r="73" spans="1:1" x14ac:dyDescent="0.25">
      <c r="A73" s="2">
        <v>2016</v>
      </c>
    </row>
    <row r="74" spans="1:1" x14ac:dyDescent="0.25">
      <c r="A74" s="2">
        <v>2017</v>
      </c>
    </row>
    <row r="75" spans="1:1" x14ac:dyDescent="0.25">
      <c r="A75" s="2">
        <v>2018</v>
      </c>
    </row>
    <row r="76" spans="1:1" x14ac:dyDescent="0.25">
      <c r="A76" s="2">
        <v>2019</v>
      </c>
    </row>
    <row r="77" spans="1:1" x14ac:dyDescent="0.25">
      <c r="A77" s="2">
        <v>2020</v>
      </c>
    </row>
    <row r="78" spans="1:1" x14ac:dyDescent="0.25">
      <c r="A78" s="2">
        <v>2021</v>
      </c>
    </row>
    <row r="79" spans="1:1" x14ac:dyDescent="0.25">
      <c r="A79" s="2">
        <v>2022</v>
      </c>
    </row>
    <row r="80" spans="1:1" x14ac:dyDescent="0.25">
      <c r="A80" s="2">
        <v>2023</v>
      </c>
    </row>
  </sheetData>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80"/>
  <sheetViews>
    <sheetView zoomScale="85" zoomScaleNormal="85" workbookViewId="0">
      <pane xSplit="1" ySplit="1" topLeftCell="B19" activePane="bottomRight" state="frozen"/>
      <selection pane="topRight" activeCell="B1" sqref="B1"/>
      <selection pane="bottomLeft" activeCell="A2" sqref="A2"/>
      <selection pane="bottomRight" activeCell="D57" sqref="D57"/>
    </sheetView>
  </sheetViews>
  <sheetFormatPr baseColWidth="10" defaultColWidth="13.5703125" defaultRowHeight="15" x14ac:dyDescent="0.25"/>
  <cols>
    <col min="1" max="1" width="7" style="2" customWidth="1"/>
    <col min="2" max="2" width="15.7109375" style="1" bestFit="1" customWidth="1"/>
    <col min="3" max="16384" width="13.5703125" style="1"/>
  </cols>
  <sheetData>
    <row r="1" spans="1:3" s="3" customFormat="1" x14ac:dyDescent="0.25">
      <c r="A1" s="54" t="s">
        <v>0</v>
      </c>
      <c r="B1" s="5" t="s">
        <v>1</v>
      </c>
      <c r="C1" s="5" t="s">
        <v>79</v>
      </c>
    </row>
    <row r="2" spans="1:3" x14ac:dyDescent="0.25">
      <c r="A2" s="2">
        <v>1945</v>
      </c>
    </row>
    <row r="3" spans="1:3" x14ac:dyDescent="0.25">
      <c r="A3" s="2">
        <v>1946</v>
      </c>
      <c r="B3" s="1">
        <v>0</v>
      </c>
    </row>
    <row r="4" spans="1:3" x14ac:dyDescent="0.25">
      <c r="A4" s="2">
        <v>1947</v>
      </c>
    </row>
    <row r="5" spans="1:3" x14ac:dyDescent="0.25">
      <c r="A5" s="2">
        <v>1948</v>
      </c>
    </row>
    <row r="6" spans="1:3" x14ac:dyDescent="0.25">
      <c r="A6" s="2">
        <v>1949</v>
      </c>
    </row>
    <row r="7" spans="1:3" x14ac:dyDescent="0.25">
      <c r="A7" s="2">
        <v>1950</v>
      </c>
    </row>
    <row r="8" spans="1:3" x14ac:dyDescent="0.25">
      <c r="A8" s="2">
        <v>1951</v>
      </c>
    </row>
    <row r="9" spans="1:3" x14ac:dyDescent="0.25">
      <c r="A9" s="2">
        <v>1952</v>
      </c>
    </row>
    <row r="10" spans="1:3" x14ac:dyDescent="0.25">
      <c r="A10" s="2">
        <v>1953</v>
      </c>
    </row>
    <row r="11" spans="1:3" x14ac:dyDescent="0.25">
      <c r="A11" s="2">
        <v>1954</v>
      </c>
    </row>
    <row r="12" spans="1:3" x14ac:dyDescent="0.25">
      <c r="A12" s="2">
        <v>1955</v>
      </c>
    </row>
    <row r="13" spans="1:3" x14ac:dyDescent="0.25">
      <c r="A13" s="2">
        <v>1956</v>
      </c>
    </row>
    <row r="14" spans="1:3" x14ac:dyDescent="0.25">
      <c r="A14" s="2">
        <v>1957</v>
      </c>
    </row>
    <row r="15" spans="1:3" x14ac:dyDescent="0.25">
      <c r="A15" s="2">
        <v>1958</v>
      </c>
    </row>
    <row r="16" spans="1:3" x14ac:dyDescent="0.25">
      <c r="A16" s="2">
        <v>1959</v>
      </c>
    </row>
    <row r="17" spans="1:4" x14ac:dyDescent="0.25">
      <c r="A17" s="2">
        <v>1960</v>
      </c>
    </row>
    <row r="18" spans="1:4" x14ac:dyDescent="0.25">
      <c r="A18" s="2">
        <v>1961</v>
      </c>
    </row>
    <row r="19" spans="1:4" x14ac:dyDescent="0.25">
      <c r="A19" s="2">
        <v>1962</v>
      </c>
    </row>
    <row r="20" spans="1:4" x14ac:dyDescent="0.25">
      <c r="A20" s="2">
        <v>1963</v>
      </c>
    </row>
    <row r="21" spans="1:4" x14ac:dyDescent="0.25">
      <c r="A21" s="2">
        <v>1964</v>
      </c>
    </row>
    <row r="22" spans="1:4" x14ac:dyDescent="0.25">
      <c r="A22" s="2">
        <v>1965</v>
      </c>
    </row>
    <row r="23" spans="1:4" x14ac:dyDescent="0.25">
      <c r="A23" s="2">
        <v>1966</v>
      </c>
    </row>
    <row r="24" spans="1:4" x14ac:dyDescent="0.25">
      <c r="A24" s="2">
        <v>1967</v>
      </c>
    </row>
    <row r="25" spans="1:4" x14ac:dyDescent="0.25">
      <c r="A25" s="2">
        <v>1968</v>
      </c>
    </row>
    <row r="26" spans="1:4" x14ac:dyDescent="0.25">
      <c r="A26" s="2">
        <v>1969</v>
      </c>
    </row>
    <row r="27" spans="1:4" x14ac:dyDescent="0.25">
      <c r="A27" s="2">
        <v>1970</v>
      </c>
      <c r="D27" s="55"/>
    </row>
    <row r="28" spans="1:4" x14ac:dyDescent="0.25">
      <c r="A28" s="2">
        <v>1971</v>
      </c>
      <c r="B28" s="55"/>
      <c r="D28" s="55"/>
    </row>
    <row r="29" spans="1:4" x14ac:dyDescent="0.25">
      <c r="A29" s="2">
        <v>1972</v>
      </c>
      <c r="B29" s="55"/>
      <c r="D29" s="55"/>
    </row>
    <row r="30" spans="1:4" x14ac:dyDescent="0.25">
      <c r="A30" s="2">
        <v>1973</v>
      </c>
      <c r="B30" s="55"/>
      <c r="D30" s="55"/>
    </row>
    <row r="31" spans="1:4" x14ac:dyDescent="0.25">
      <c r="A31" s="2">
        <v>1974</v>
      </c>
      <c r="B31" s="55"/>
      <c r="D31" s="55"/>
    </row>
    <row r="32" spans="1:4" x14ac:dyDescent="0.25">
      <c r="A32" s="2">
        <v>1975</v>
      </c>
      <c r="B32" s="55"/>
      <c r="D32" s="55"/>
    </row>
    <row r="33" spans="1:4" x14ac:dyDescent="0.25">
      <c r="A33" s="2">
        <v>1976</v>
      </c>
      <c r="B33" s="55"/>
      <c r="D33" s="55"/>
    </row>
    <row r="34" spans="1:4" x14ac:dyDescent="0.25">
      <c r="A34" s="2">
        <v>1977</v>
      </c>
      <c r="B34" s="55"/>
      <c r="D34" s="55"/>
    </row>
    <row r="35" spans="1:4" x14ac:dyDescent="0.25">
      <c r="A35" s="2">
        <v>1978</v>
      </c>
      <c r="B35" s="55"/>
      <c r="D35" s="55"/>
    </row>
    <row r="36" spans="1:4" x14ac:dyDescent="0.25">
      <c r="A36" s="2">
        <v>1979</v>
      </c>
      <c r="B36" s="55"/>
      <c r="D36" s="55"/>
    </row>
    <row r="37" spans="1:4" x14ac:dyDescent="0.25">
      <c r="A37" s="2">
        <v>1980</v>
      </c>
      <c r="B37" s="55"/>
      <c r="D37" s="55"/>
    </row>
    <row r="38" spans="1:4" x14ac:dyDescent="0.25">
      <c r="A38" s="2">
        <v>1981</v>
      </c>
      <c r="B38" s="55"/>
      <c r="D38" s="55"/>
    </row>
    <row r="39" spans="1:4" x14ac:dyDescent="0.25">
      <c r="A39" s="2">
        <v>1982</v>
      </c>
      <c r="B39" s="55"/>
      <c r="D39" s="55"/>
    </row>
    <row r="40" spans="1:4" x14ac:dyDescent="0.25">
      <c r="A40" s="2">
        <v>1983</v>
      </c>
      <c r="B40" s="55"/>
    </row>
    <row r="41" spans="1:4" x14ac:dyDescent="0.25">
      <c r="A41" s="2">
        <v>1984</v>
      </c>
      <c r="D41" s="55"/>
    </row>
    <row r="42" spans="1:4" x14ac:dyDescent="0.25">
      <c r="A42" s="2">
        <v>1985</v>
      </c>
      <c r="B42" s="55"/>
    </row>
    <row r="43" spans="1:4" x14ac:dyDescent="0.25">
      <c r="A43" s="2">
        <v>1986</v>
      </c>
      <c r="B43" s="6"/>
    </row>
    <row r="44" spans="1:4" x14ac:dyDescent="0.25">
      <c r="A44" s="2">
        <v>1987</v>
      </c>
    </row>
    <row r="45" spans="1:4" x14ac:dyDescent="0.25">
      <c r="A45" s="2">
        <v>1988</v>
      </c>
    </row>
    <row r="46" spans="1:4" x14ac:dyDescent="0.25">
      <c r="A46" s="2">
        <v>1989</v>
      </c>
    </row>
    <row r="47" spans="1:4" x14ac:dyDescent="0.25">
      <c r="A47" s="2">
        <v>1990</v>
      </c>
    </row>
    <row r="48" spans="1:4" x14ac:dyDescent="0.25">
      <c r="A48" s="2">
        <v>1991</v>
      </c>
    </row>
    <row r="49" spans="1:2" x14ac:dyDescent="0.25">
      <c r="A49" s="2">
        <v>1992</v>
      </c>
    </row>
    <row r="50" spans="1:2" x14ac:dyDescent="0.25">
      <c r="A50" s="2">
        <v>1993</v>
      </c>
    </row>
    <row r="51" spans="1:2" x14ac:dyDescent="0.25">
      <c r="A51" s="2">
        <v>1994</v>
      </c>
    </row>
    <row r="52" spans="1:2" x14ac:dyDescent="0.25">
      <c r="A52" s="2">
        <v>1995</v>
      </c>
      <c r="B52" s="6">
        <v>4607.9660000000003</v>
      </c>
    </row>
    <row r="53" spans="1:2" x14ac:dyDescent="0.25">
      <c r="A53" s="2">
        <v>1996</v>
      </c>
      <c r="B53" s="6">
        <v>4074.3609999999999</v>
      </c>
    </row>
    <row r="54" spans="1:2" x14ac:dyDescent="0.25">
      <c r="A54" s="2">
        <v>1997</v>
      </c>
      <c r="B54" s="6">
        <v>4329.7910000000002</v>
      </c>
    </row>
    <row r="55" spans="1:2" x14ac:dyDescent="0.25">
      <c r="A55" s="2">
        <v>1998</v>
      </c>
      <c r="B55" s="6">
        <v>4691.8540000000003</v>
      </c>
    </row>
    <row r="56" spans="1:2" x14ac:dyDescent="0.25">
      <c r="A56" s="2">
        <v>1999</v>
      </c>
      <c r="B56" s="6">
        <v>4990.3630000000003</v>
      </c>
    </row>
    <row r="57" spans="1:2" x14ac:dyDescent="0.25">
      <c r="A57" s="2">
        <v>2000</v>
      </c>
      <c r="B57" s="6">
        <v>5332.06</v>
      </c>
    </row>
    <row r="58" spans="1:2" x14ac:dyDescent="0.25">
      <c r="A58" s="2">
        <v>2001</v>
      </c>
      <c r="B58" s="6">
        <v>5429.6809999999996</v>
      </c>
    </row>
    <row r="59" spans="1:2" x14ac:dyDescent="0.25">
      <c r="A59" s="2">
        <v>2002</v>
      </c>
      <c r="B59" s="6">
        <v>4950.7780000000002</v>
      </c>
    </row>
    <row r="60" spans="1:2" x14ac:dyDescent="0.25">
      <c r="A60" s="2">
        <v>2003</v>
      </c>
      <c r="B60" s="6">
        <v>4852.4790000000003</v>
      </c>
    </row>
    <row r="61" spans="1:2" x14ac:dyDescent="0.25">
      <c r="A61" s="2">
        <v>2004</v>
      </c>
      <c r="B61" s="6">
        <v>4995.8620000000001</v>
      </c>
    </row>
    <row r="62" spans="1:2" x14ac:dyDescent="0.25">
      <c r="A62" s="2">
        <v>2005</v>
      </c>
      <c r="B62" s="6">
        <v>5190.4409999999998</v>
      </c>
    </row>
    <row r="63" spans="1:2" x14ac:dyDescent="0.25">
      <c r="A63" s="2">
        <v>2006</v>
      </c>
      <c r="B63" s="6">
        <v>5395.424</v>
      </c>
    </row>
    <row r="64" spans="1:2" x14ac:dyDescent="0.25">
      <c r="A64" s="2">
        <v>2007</v>
      </c>
      <c r="B64" s="6">
        <v>5528.9369999999999</v>
      </c>
    </row>
    <row r="65" spans="1:2" x14ac:dyDescent="0.25">
      <c r="A65" s="2">
        <v>2008</v>
      </c>
      <c r="B65" s="6">
        <v>5176.0590000000002</v>
      </c>
    </row>
    <row r="66" spans="1:2" x14ac:dyDescent="0.25">
      <c r="A66" s="2">
        <v>2009</v>
      </c>
      <c r="B66" s="6">
        <v>4726.777</v>
      </c>
    </row>
    <row r="67" spans="1:2" x14ac:dyDescent="0.25">
      <c r="A67" s="2">
        <v>2010</v>
      </c>
      <c r="B67" s="6">
        <v>4488.1540000000005</v>
      </c>
    </row>
    <row r="68" spans="1:2" x14ac:dyDescent="0.25">
      <c r="A68" s="2">
        <v>2011</v>
      </c>
      <c r="B68" s="6">
        <v>4430.5169999999998</v>
      </c>
    </row>
    <row r="69" spans="1:2" x14ac:dyDescent="0.25">
      <c r="A69" s="2">
        <v>2012</v>
      </c>
      <c r="B69" s="6">
        <v>4418.607</v>
      </c>
    </row>
    <row r="70" spans="1:2" x14ac:dyDescent="0.25">
      <c r="A70" s="2">
        <v>2013</v>
      </c>
      <c r="B70" s="6">
        <v>4060.1080000000002</v>
      </c>
    </row>
    <row r="71" spans="1:2" x14ac:dyDescent="0.25">
      <c r="A71" s="2">
        <v>2014</v>
      </c>
    </row>
    <row r="72" spans="1:2" x14ac:dyDescent="0.25">
      <c r="A72" s="2">
        <v>2015</v>
      </c>
      <c r="B72" s="6">
        <v>3889.6</v>
      </c>
    </row>
    <row r="73" spans="1:2" x14ac:dyDescent="0.25">
      <c r="A73" s="2">
        <v>2016</v>
      </c>
      <c r="B73" s="6">
        <v>3946.616</v>
      </c>
    </row>
    <row r="74" spans="1:2" x14ac:dyDescent="0.25">
      <c r="A74" s="2">
        <v>2017</v>
      </c>
      <c r="B74" s="6">
        <v>4192.6400000000003</v>
      </c>
    </row>
    <row r="75" spans="1:2" x14ac:dyDescent="0.25">
      <c r="A75" s="2">
        <v>2018</v>
      </c>
      <c r="B75" s="6">
        <v>4124.6139999999996</v>
      </c>
    </row>
    <row r="76" spans="1:2" x14ac:dyDescent="0.25">
      <c r="A76" s="2">
        <v>2019</v>
      </c>
      <c r="B76" s="6">
        <v>4349.0959999999995</v>
      </c>
    </row>
    <row r="77" spans="1:2" x14ac:dyDescent="0.25">
      <c r="A77" s="2">
        <v>2020</v>
      </c>
      <c r="B77" s="6">
        <v>4014.7220000000002</v>
      </c>
    </row>
    <row r="78" spans="1:2" x14ac:dyDescent="0.25">
      <c r="A78" s="2">
        <v>2021</v>
      </c>
    </row>
    <row r="79" spans="1:2" x14ac:dyDescent="0.25">
      <c r="A79" s="2">
        <v>2022</v>
      </c>
      <c r="B79" s="6">
        <v>4076.3209999999999</v>
      </c>
    </row>
    <row r="80" spans="1:2" x14ac:dyDescent="0.25">
      <c r="A80" s="2">
        <v>2023</v>
      </c>
      <c r="B80" s="6">
        <v>3576.0479999999998</v>
      </c>
    </row>
  </sheetData>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96"/>
  <sheetViews>
    <sheetView zoomScale="72" zoomScaleNormal="115" workbookViewId="0">
      <pane xSplit="1" ySplit="1" topLeftCell="B30" activePane="bottomRight" state="frozen"/>
      <selection pane="topRight" activeCell="B1" sqref="B1"/>
      <selection pane="bottomLeft" activeCell="A2" sqref="A2"/>
      <selection pane="bottomRight" activeCell="H47" sqref="H47"/>
    </sheetView>
  </sheetViews>
  <sheetFormatPr baseColWidth="10" defaultColWidth="13.5703125" defaultRowHeight="15" x14ac:dyDescent="0.25"/>
  <cols>
    <col min="1" max="1" width="7" style="66" customWidth="1"/>
    <col min="2" max="3" width="19.42578125" style="65" customWidth="1"/>
    <col min="4" max="16384" width="13.5703125" style="42"/>
  </cols>
  <sheetData>
    <row r="1" spans="1:3" s="57" customFormat="1" x14ac:dyDescent="0.25">
      <c r="A1" s="56" t="s">
        <v>0</v>
      </c>
      <c r="B1" s="5" t="s">
        <v>79</v>
      </c>
      <c r="C1" s="5" t="s">
        <v>1</v>
      </c>
    </row>
    <row r="2" spans="1:3" x14ac:dyDescent="0.25">
      <c r="A2" s="58">
        <v>1945</v>
      </c>
      <c r="B2" s="59"/>
      <c r="C2" s="59"/>
    </row>
    <row r="3" spans="1:3" x14ac:dyDescent="0.25">
      <c r="A3" s="58">
        <v>1946</v>
      </c>
      <c r="B3" s="59"/>
      <c r="C3" s="59"/>
    </row>
    <row r="4" spans="1:3" x14ac:dyDescent="0.25">
      <c r="A4" s="58">
        <v>1947</v>
      </c>
      <c r="B4" s="59"/>
      <c r="C4" s="59"/>
    </row>
    <row r="5" spans="1:3" x14ac:dyDescent="0.25">
      <c r="A5" s="58">
        <v>1948</v>
      </c>
      <c r="B5" s="59"/>
      <c r="C5" s="59"/>
    </row>
    <row r="6" spans="1:3" x14ac:dyDescent="0.25">
      <c r="A6" s="58">
        <v>1949</v>
      </c>
      <c r="B6" s="59"/>
      <c r="C6" s="59"/>
    </row>
    <row r="7" spans="1:3" x14ac:dyDescent="0.25">
      <c r="A7" s="58">
        <v>1950</v>
      </c>
      <c r="B7" s="59"/>
      <c r="C7" s="59"/>
    </row>
    <row r="8" spans="1:3" x14ac:dyDescent="0.25">
      <c r="A8" s="58">
        <v>1951</v>
      </c>
      <c r="B8" s="59"/>
      <c r="C8" s="59"/>
    </row>
    <row r="9" spans="1:3" x14ac:dyDescent="0.25">
      <c r="A9" s="58">
        <v>1952</v>
      </c>
      <c r="B9" s="59"/>
      <c r="C9" s="59"/>
    </row>
    <row r="10" spans="1:3" x14ac:dyDescent="0.25">
      <c r="A10" s="58">
        <v>1953</v>
      </c>
      <c r="B10" s="59"/>
      <c r="C10" s="59"/>
    </row>
    <row r="11" spans="1:3" x14ac:dyDescent="0.25">
      <c r="A11" s="58">
        <v>1954</v>
      </c>
      <c r="B11" s="59"/>
      <c r="C11" s="59"/>
    </row>
    <row r="12" spans="1:3" x14ac:dyDescent="0.25">
      <c r="A12" s="58">
        <v>1955</v>
      </c>
      <c r="B12" s="59"/>
      <c r="C12" s="59"/>
    </row>
    <row r="13" spans="1:3" x14ac:dyDescent="0.25">
      <c r="A13" s="58">
        <v>1956</v>
      </c>
      <c r="B13" s="59"/>
      <c r="C13" s="59"/>
    </row>
    <row r="14" spans="1:3" x14ac:dyDescent="0.25">
      <c r="A14" s="58">
        <v>1957</v>
      </c>
      <c r="B14" s="59"/>
      <c r="C14" s="59"/>
    </row>
    <row r="15" spans="1:3" x14ac:dyDescent="0.25">
      <c r="A15" s="58">
        <v>1958</v>
      </c>
      <c r="B15" s="6">
        <v>0.02</v>
      </c>
      <c r="C15" s="6">
        <v>0.02</v>
      </c>
    </row>
    <row r="16" spans="1:3" x14ac:dyDescent="0.25">
      <c r="A16" s="58">
        <v>1959</v>
      </c>
      <c r="B16" s="59"/>
      <c r="C16" s="59"/>
    </row>
    <row r="17" spans="1:4" x14ac:dyDescent="0.25">
      <c r="A17" s="58">
        <v>1960</v>
      </c>
      <c r="B17" s="59">
        <v>0</v>
      </c>
      <c r="C17" s="60"/>
      <c r="D17" s="60"/>
    </row>
    <row r="18" spans="1:4" x14ac:dyDescent="0.25">
      <c r="A18" s="58">
        <v>1961</v>
      </c>
      <c r="B18" s="59">
        <v>0</v>
      </c>
      <c r="C18" s="60"/>
      <c r="D18" s="60"/>
    </row>
    <row r="19" spans="1:4" x14ac:dyDescent="0.25">
      <c r="A19" s="58">
        <v>1962</v>
      </c>
      <c r="B19" s="59">
        <v>0</v>
      </c>
      <c r="C19" s="60"/>
      <c r="D19" s="60"/>
    </row>
    <row r="20" spans="1:4" x14ac:dyDescent="0.25">
      <c r="A20" s="58">
        <v>1963</v>
      </c>
      <c r="B20" s="59">
        <v>0</v>
      </c>
      <c r="C20" s="60"/>
      <c r="D20" s="60"/>
    </row>
    <row r="21" spans="1:4" x14ac:dyDescent="0.25">
      <c r="A21" s="58">
        <v>1964</v>
      </c>
      <c r="B21" s="59">
        <v>0</v>
      </c>
      <c r="C21" s="60"/>
      <c r="D21" s="60"/>
    </row>
    <row r="22" spans="1:4" x14ac:dyDescent="0.25">
      <c r="A22" s="58">
        <v>1965</v>
      </c>
      <c r="B22" s="59">
        <v>0</v>
      </c>
      <c r="C22" s="60"/>
      <c r="D22" s="60"/>
    </row>
    <row r="23" spans="1:4" x14ac:dyDescent="0.25">
      <c r="A23" s="58">
        <v>1966</v>
      </c>
      <c r="B23" s="59">
        <v>0</v>
      </c>
      <c r="C23" s="60"/>
      <c r="D23" s="60"/>
    </row>
    <row r="24" spans="1:4" x14ac:dyDescent="0.25">
      <c r="A24" s="58">
        <v>1967</v>
      </c>
      <c r="B24" s="59">
        <v>0</v>
      </c>
      <c r="C24" s="60"/>
      <c r="D24" s="60"/>
    </row>
    <row r="25" spans="1:4" x14ac:dyDescent="0.25">
      <c r="A25" s="58">
        <v>1968</v>
      </c>
      <c r="B25" s="59">
        <v>0</v>
      </c>
      <c r="C25" s="60"/>
      <c r="D25" s="60"/>
    </row>
    <row r="26" spans="1:4" x14ac:dyDescent="0.25">
      <c r="A26" s="58">
        <v>1969</v>
      </c>
      <c r="B26" s="59">
        <v>0</v>
      </c>
      <c r="C26" s="60"/>
      <c r="D26" s="60"/>
    </row>
    <row r="27" spans="1:4" x14ac:dyDescent="0.25">
      <c r="A27" s="58">
        <v>1970</v>
      </c>
      <c r="B27" s="59">
        <v>0</v>
      </c>
      <c r="C27" s="60"/>
      <c r="D27" s="60"/>
    </row>
    <row r="28" spans="1:4" x14ac:dyDescent="0.25">
      <c r="A28" s="58">
        <v>1971</v>
      </c>
      <c r="B28" s="59">
        <v>0</v>
      </c>
      <c r="C28" s="60"/>
      <c r="D28" s="60"/>
    </row>
    <row r="29" spans="1:4" x14ac:dyDescent="0.25">
      <c r="A29" s="58">
        <v>1972</v>
      </c>
      <c r="B29" s="59">
        <v>0</v>
      </c>
      <c r="C29" s="60"/>
      <c r="D29" s="60"/>
    </row>
    <row r="30" spans="1:4" x14ac:dyDescent="0.25">
      <c r="A30" s="58">
        <v>1973</v>
      </c>
      <c r="B30" s="59">
        <v>0</v>
      </c>
      <c r="C30" s="60"/>
      <c r="D30" s="60"/>
    </row>
    <row r="31" spans="1:4" x14ac:dyDescent="0.25">
      <c r="A31" s="58">
        <v>1974</v>
      </c>
      <c r="B31" s="59">
        <v>0</v>
      </c>
      <c r="C31" s="60"/>
      <c r="D31" s="60"/>
    </row>
    <row r="32" spans="1:4" x14ac:dyDescent="0.25">
      <c r="A32" s="58">
        <v>1975</v>
      </c>
      <c r="B32" s="59">
        <v>1</v>
      </c>
      <c r="C32" s="60"/>
      <c r="D32" s="60"/>
    </row>
    <row r="33" spans="1:4" x14ac:dyDescent="0.25">
      <c r="A33" s="58">
        <v>1976</v>
      </c>
      <c r="B33" s="59">
        <v>2</v>
      </c>
      <c r="C33" s="60"/>
      <c r="D33" s="60"/>
    </row>
    <row r="34" spans="1:4" x14ac:dyDescent="0.25">
      <c r="A34" s="58">
        <v>1977</v>
      </c>
      <c r="B34" s="59">
        <v>3</v>
      </c>
      <c r="C34" s="60"/>
      <c r="D34" s="60"/>
    </row>
    <row r="35" spans="1:4" x14ac:dyDescent="0.25">
      <c r="A35" s="58">
        <v>1978</v>
      </c>
      <c r="B35" s="59">
        <v>5</v>
      </c>
      <c r="C35" s="60"/>
      <c r="D35" s="60"/>
    </row>
    <row r="36" spans="1:4" x14ac:dyDescent="0.25">
      <c r="A36" s="58">
        <v>1979</v>
      </c>
      <c r="B36" s="59">
        <v>6</v>
      </c>
      <c r="C36" s="60"/>
      <c r="D36" s="60"/>
    </row>
    <row r="37" spans="1:4" x14ac:dyDescent="0.25">
      <c r="A37" s="58">
        <v>1980</v>
      </c>
      <c r="B37" s="59">
        <v>9</v>
      </c>
      <c r="C37" s="60"/>
      <c r="D37" s="60"/>
    </row>
    <row r="38" spans="1:4" x14ac:dyDescent="0.25">
      <c r="A38" s="58">
        <v>1981</v>
      </c>
      <c r="B38" s="59">
        <v>8</v>
      </c>
      <c r="C38" s="60"/>
      <c r="D38" s="60"/>
    </row>
    <row r="39" spans="1:4" x14ac:dyDescent="0.25">
      <c r="A39" s="58">
        <v>1982</v>
      </c>
      <c r="B39" s="59">
        <v>7</v>
      </c>
      <c r="C39" s="60"/>
      <c r="D39" s="60"/>
    </row>
    <row r="40" spans="1:4" x14ac:dyDescent="0.25">
      <c r="A40" s="58">
        <v>1983</v>
      </c>
      <c r="B40" s="59">
        <v>6</v>
      </c>
      <c r="C40" s="60"/>
      <c r="D40" s="60"/>
    </row>
    <row r="41" spans="1:4" x14ac:dyDescent="0.25">
      <c r="A41" s="58">
        <v>1984</v>
      </c>
      <c r="B41" s="59">
        <v>5</v>
      </c>
      <c r="C41" s="60"/>
      <c r="D41" s="60"/>
    </row>
    <row r="42" spans="1:4" x14ac:dyDescent="0.25">
      <c r="A42" s="58">
        <v>1985</v>
      </c>
      <c r="B42" s="59">
        <v>5</v>
      </c>
      <c r="C42" s="60"/>
      <c r="D42" s="60"/>
    </row>
    <row r="43" spans="1:4" x14ac:dyDescent="0.25">
      <c r="A43" s="58">
        <v>1986</v>
      </c>
      <c r="B43" s="59">
        <v>6</v>
      </c>
      <c r="C43" s="60"/>
      <c r="D43" s="60"/>
    </row>
    <row r="44" spans="1:4" x14ac:dyDescent="0.25">
      <c r="A44" s="58">
        <v>1987</v>
      </c>
      <c r="B44" s="59">
        <v>6</v>
      </c>
      <c r="C44" s="60"/>
      <c r="D44" s="60"/>
    </row>
    <row r="45" spans="1:4" x14ac:dyDescent="0.25">
      <c r="A45" s="58">
        <v>1988</v>
      </c>
      <c r="B45" s="59">
        <v>6</v>
      </c>
      <c r="C45" s="60"/>
      <c r="D45" s="60"/>
    </row>
    <row r="46" spans="1:4" x14ac:dyDescent="0.25">
      <c r="A46" s="58">
        <v>1989</v>
      </c>
      <c r="B46" s="59">
        <v>7</v>
      </c>
      <c r="C46" s="60"/>
      <c r="D46" s="60"/>
    </row>
    <row r="47" spans="1:4" x14ac:dyDescent="0.25">
      <c r="A47" s="58">
        <v>1990</v>
      </c>
      <c r="B47" s="59">
        <v>8</v>
      </c>
      <c r="C47" s="60"/>
      <c r="D47" s="60"/>
    </row>
    <row r="48" spans="1:4" x14ac:dyDescent="0.25">
      <c r="A48" s="58">
        <v>1991</v>
      </c>
      <c r="B48" s="59">
        <v>11</v>
      </c>
      <c r="C48" s="60"/>
      <c r="D48" s="60"/>
    </row>
    <row r="49" spans="1:4" x14ac:dyDescent="0.25">
      <c r="A49" s="58">
        <v>1992</v>
      </c>
      <c r="B49" s="59">
        <v>10</v>
      </c>
      <c r="C49" s="60"/>
      <c r="D49" s="60"/>
    </row>
    <row r="50" spans="1:4" x14ac:dyDescent="0.25">
      <c r="A50" s="58">
        <v>1993</v>
      </c>
      <c r="B50" s="59">
        <v>6</v>
      </c>
      <c r="C50" s="60"/>
      <c r="D50" s="60"/>
    </row>
    <row r="51" spans="1:4" x14ac:dyDescent="0.25">
      <c r="A51" s="58">
        <v>1994</v>
      </c>
      <c r="B51" s="61"/>
      <c r="C51" s="61"/>
    </row>
    <row r="52" spans="1:4" x14ac:dyDescent="0.25">
      <c r="A52" s="58">
        <v>1995</v>
      </c>
      <c r="B52" s="45">
        <f t="shared" ref="B52:B59" si="0">C52*AVERAGE($B$61/$C$61, $B$62/$C$62)</f>
        <v>9.1349617438834194</v>
      </c>
      <c r="C52" s="6">
        <v>400.37400000000002</v>
      </c>
    </row>
    <row r="53" spans="1:4" x14ac:dyDescent="0.25">
      <c r="A53" s="58">
        <v>1996</v>
      </c>
      <c r="B53" s="45">
        <f t="shared" si="0"/>
        <v>9.899733638894654</v>
      </c>
      <c r="C53" s="6">
        <v>433.89299999999997</v>
      </c>
    </row>
    <row r="54" spans="1:4" x14ac:dyDescent="0.25">
      <c r="A54" s="58">
        <v>1997</v>
      </c>
      <c r="B54" s="45">
        <f t="shared" si="0"/>
        <v>10.403580942141563</v>
      </c>
      <c r="C54" s="6">
        <v>455.976</v>
      </c>
    </row>
    <row r="55" spans="1:4" x14ac:dyDescent="0.25">
      <c r="A55" s="58">
        <v>1998</v>
      </c>
      <c r="B55" s="45">
        <f t="shared" si="0"/>
        <v>10.781460715558911</v>
      </c>
      <c r="C55" s="6">
        <v>472.53800000000001</v>
      </c>
    </row>
    <row r="56" spans="1:4" x14ac:dyDescent="0.25">
      <c r="A56" s="58">
        <v>1999</v>
      </c>
      <c r="B56" s="45">
        <f t="shared" si="0"/>
        <v>8.8375770701289369</v>
      </c>
      <c r="C56" s="6">
        <v>387.34</v>
      </c>
    </row>
    <row r="57" spans="1:4" x14ac:dyDescent="0.25">
      <c r="A57" s="58">
        <v>2000</v>
      </c>
      <c r="B57" s="45">
        <f t="shared" si="0"/>
        <v>10.115140168349622</v>
      </c>
      <c r="C57" s="6">
        <v>443.334</v>
      </c>
      <c r="D57" s="62"/>
    </row>
    <row r="58" spans="1:4" x14ac:dyDescent="0.25">
      <c r="A58" s="58">
        <v>2001</v>
      </c>
      <c r="B58" s="45">
        <f t="shared" si="0"/>
        <v>11.203877460218298</v>
      </c>
      <c r="C58" s="6">
        <v>491.05200000000002</v>
      </c>
      <c r="D58" s="62"/>
    </row>
    <row r="59" spans="1:4" x14ac:dyDescent="0.25">
      <c r="A59" s="58">
        <v>2002</v>
      </c>
      <c r="B59" s="45">
        <f t="shared" si="0"/>
        <v>10.910371518590429</v>
      </c>
      <c r="C59" s="6">
        <v>478.18799999999999</v>
      </c>
      <c r="D59" s="62"/>
    </row>
    <row r="60" spans="1:4" x14ac:dyDescent="0.25">
      <c r="A60" s="58">
        <v>2003</v>
      </c>
      <c r="B60" s="45">
        <f>C60*AVERAGE($B$61/$C$61, $B$62/$C$62)</f>
        <v>11.251220808234297</v>
      </c>
      <c r="C60" s="6">
        <v>493.12700000000001</v>
      </c>
      <c r="D60" s="20"/>
    </row>
    <row r="61" spans="1:4" x14ac:dyDescent="0.25">
      <c r="A61" s="58">
        <v>2004</v>
      </c>
      <c r="B61" s="63">
        <v>10.8</v>
      </c>
      <c r="C61" s="6">
        <v>449.02499999999998</v>
      </c>
      <c r="D61" s="64"/>
    </row>
    <row r="62" spans="1:4" x14ac:dyDescent="0.25">
      <c r="A62" s="58">
        <v>2005</v>
      </c>
      <c r="B62" s="63">
        <v>15.1</v>
      </c>
      <c r="C62" s="6">
        <v>699.721</v>
      </c>
      <c r="D62" s="64"/>
    </row>
    <row r="63" spans="1:4" x14ac:dyDescent="0.25">
      <c r="A63" s="58">
        <v>2006</v>
      </c>
      <c r="B63" s="45">
        <f t="shared" ref="B63:B80" si="1">C63*AVERAGE($B$61/$C$61, $B$62/$C$62)</f>
        <v>11.400871420107524</v>
      </c>
      <c r="C63" s="6">
        <v>499.68599999999998</v>
      </c>
      <c r="D63" s="20"/>
    </row>
    <row r="64" spans="1:4" x14ac:dyDescent="0.25">
      <c r="A64" s="58">
        <v>2007</v>
      </c>
      <c r="B64" s="45">
        <f t="shared" si="1"/>
        <v>13.028478684719282</v>
      </c>
      <c r="C64" s="6">
        <v>571.02200000000005</v>
      </c>
      <c r="D64" s="20"/>
    </row>
    <row r="65" spans="1:4" x14ac:dyDescent="0.25">
      <c r="A65" s="58">
        <v>2008</v>
      </c>
      <c r="B65" s="45">
        <f t="shared" si="1"/>
        <v>13.680060049847445</v>
      </c>
      <c r="C65" s="6">
        <v>599.58000000000004</v>
      </c>
      <c r="D65" s="20"/>
    </row>
    <row r="66" spans="1:4" x14ac:dyDescent="0.25">
      <c r="A66" s="58">
        <v>2009</v>
      </c>
      <c r="B66" s="45">
        <f t="shared" si="1"/>
        <v>12.82395542129016</v>
      </c>
      <c r="C66" s="6">
        <v>562.05799999999999</v>
      </c>
      <c r="D66" s="62"/>
    </row>
    <row r="67" spans="1:4" x14ac:dyDescent="0.25">
      <c r="A67" s="58">
        <v>2010</v>
      </c>
      <c r="B67" s="45">
        <f t="shared" si="1"/>
        <v>11.095295776744493</v>
      </c>
      <c r="C67" s="6">
        <v>486.29300000000001</v>
      </c>
      <c r="D67" s="62"/>
    </row>
    <row r="68" spans="1:4" x14ac:dyDescent="0.25">
      <c r="A68" s="58">
        <v>2011</v>
      </c>
      <c r="B68" s="45">
        <f t="shared" si="1"/>
        <v>12.244404393360318</v>
      </c>
      <c r="C68" s="6">
        <v>536.65700000000004</v>
      </c>
      <c r="D68" s="62"/>
    </row>
    <row r="69" spans="1:4" x14ac:dyDescent="0.25">
      <c r="A69" s="58">
        <v>2012</v>
      </c>
      <c r="B69" s="45">
        <f t="shared" si="1"/>
        <v>13.490755105997442</v>
      </c>
      <c r="C69" s="6">
        <v>591.28300000000002</v>
      </c>
      <c r="D69" s="62"/>
    </row>
    <row r="70" spans="1:4" x14ac:dyDescent="0.25">
      <c r="A70" s="58">
        <v>2013</v>
      </c>
      <c r="B70" s="45">
        <f t="shared" si="1"/>
        <v>11.657483774389913</v>
      </c>
      <c r="C70" s="6">
        <v>510.93299999999999</v>
      </c>
      <c r="D70" s="62"/>
    </row>
    <row r="71" spans="1:4" x14ac:dyDescent="0.25">
      <c r="A71" s="58">
        <v>2014</v>
      </c>
      <c r="B71" s="45">
        <f t="shared" si="1"/>
        <v>12.36820439641324</v>
      </c>
      <c r="C71" s="6">
        <v>542.08299999999997</v>
      </c>
      <c r="D71" s="62"/>
    </row>
    <row r="72" spans="1:4" x14ac:dyDescent="0.25">
      <c r="A72" s="58">
        <v>2015</v>
      </c>
      <c r="B72" s="45">
        <f t="shared" si="1"/>
        <v>9.9652385796917322</v>
      </c>
      <c r="C72" s="6">
        <v>436.76400000000001</v>
      </c>
      <c r="D72" s="62"/>
    </row>
    <row r="73" spans="1:4" x14ac:dyDescent="0.25">
      <c r="A73" s="58">
        <v>2016</v>
      </c>
      <c r="B73" s="45">
        <f t="shared" si="1"/>
        <v>9.7512922788020777</v>
      </c>
      <c r="C73" s="6">
        <v>427.387</v>
      </c>
      <c r="D73" s="62"/>
    </row>
    <row r="74" spans="1:4" x14ac:dyDescent="0.25">
      <c r="A74" s="58">
        <v>2017</v>
      </c>
      <c r="B74" s="45">
        <f t="shared" si="1"/>
        <v>10.268578248064129</v>
      </c>
      <c r="C74" s="6">
        <v>450.05900000000003</v>
      </c>
      <c r="D74" s="62"/>
    </row>
    <row r="75" spans="1:4" x14ac:dyDescent="0.25">
      <c r="A75" s="58">
        <v>2018</v>
      </c>
      <c r="B75" s="45">
        <f t="shared" si="1"/>
        <v>8.2320613530221269</v>
      </c>
      <c r="C75" s="6">
        <v>360.80099999999999</v>
      </c>
      <c r="D75" s="62"/>
    </row>
    <row r="76" spans="1:4" x14ac:dyDescent="0.25">
      <c r="A76" s="58">
        <v>2019</v>
      </c>
      <c r="B76" s="45">
        <f t="shared" si="1"/>
        <v>13.906007604258262</v>
      </c>
      <c r="C76" s="6">
        <v>609.48299999999995</v>
      </c>
      <c r="D76" s="62"/>
    </row>
    <row r="77" spans="1:4" x14ac:dyDescent="0.25">
      <c r="A77" s="58">
        <v>2020</v>
      </c>
      <c r="B77" s="45">
        <f t="shared" si="1"/>
        <v>11.182544433521931</v>
      </c>
      <c r="C77" s="6">
        <v>490.11700000000002</v>
      </c>
      <c r="D77" s="62"/>
    </row>
    <row r="78" spans="1:4" x14ac:dyDescent="0.25">
      <c r="A78" s="58">
        <v>2021</v>
      </c>
      <c r="B78" s="45">
        <f t="shared" si="1"/>
        <v>17.228529543914163</v>
      </c>
      <c r="C78" s="6">
        <v>755.10500000000002</v>
      </c>
      <c r="D78" s="62"/>
    </row>
    <row r="79" spans="1:4" x14ac:dyDescent="0.25">
      <c r="A79" s="58">
        <v>2022</v>
      </c>
      <c r="B79" s="45">
        <f t="shared" si="1"/>
        <v>21.30046816257418</v>
      </c>
      <c r="C79" s="6">
        <v>933.57299999999998</v>
      </c>
      <c r="D79" s="62"/>
    </row>
    <row r="80" spans="1:4" x14ac:dyDescent="0.25">
      <c r="A80" s="58">
        <v>2023</v>
      </c>
      <c r="B80" s="45">
        <f t="shared" si="1"/>
        <v>22.898209189811023</v>
      </c>
      <c r="C80" s="6">
        <v>1003.6</v>
      </c>
      <c r="D80" s="62"/>
    </row>
    <row r="81" spans="2:4" x14ac:dyDescent="0.25">
      <c r="B81" s="60"/>
      <c r="D81" s="62"/>
    </row>
    <row r="82" spans="2:4" x14ac:dyDescent="0.25">
      <c r="B82" s="60"/>
    </row>
    <row r="83" spans="2:4" x14ac:dyDescent="0.25">
      <c r="B83" s="60"/>
    </row>
    <row r="84" spans="2:4" x14ac:dyDescent="0.25">
      <c r="B84" s="60"/>
    </row>
    <row r="85" spans="2:4" x14ac:dyDescent="0.25">
      <c r="B85" s="60"/>
    </row>
    <row r="86" spans="2:4" x14ac:dyDescent="0.25">
      <c r="B86" s="60"/>
    </row>
    <row r="87" spans="2:4" x14ac:dyDescent="0.25">
      <c r="B87" s="60"/>
    </row>
    <row r="88" spans="2:4" x14ac:dyDescent="0.25">
      <c r="B88" s="60"/>
    </row>
    <row r="89" spans="2:4" x14ac:dyDescent="0.25">
      <c r="B89" s="60"/>
    </row>
    <row r="90" spans="2:4" x14ac:dyDescent="0.25">
      <c r="B90" s="60"/>
    </row>
    <row r="91" spans="2:4" x14ac:dyDescent="0.25">
      <c r="B91" s="60"/>
    </row>
    <row r="92" spans="2:4" x14ac:dyDescent="0.25">
      <c r="B92" s="60"/>
    </row>
    <row r="93" spans="2:4" x14ac:dyDescent="0.25">
      <c r="B93" s="60"/>
    </row>
    <row r="94" spans="2:4" x14ac:dyDescent="0.25">
      <c r="B94" s="60"/>
    </row>
    <row r="95" spans="2:4" x14ac:dyDescent="0.25">
      <c r="B95" s="60"/>
    </row>
    <row r="96" spans="2:4" x14ac:dyDescent="0.25">
      <c r="B96" s="60"/>
    </row>
  </sheetData>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81"/>
  <sheetViews>
    <sheetView zoomScale="70" zoomScaleNormal="70" workbookViewId="0">
      <pane xSplit="1" ySplit="1" topLeftCell="B31" activePane="bottomRight" state="frozen"/>
      <selection pane="topRight" activeCell="B1" sqref="B1"/>
      <selection pane="bottomLeft" activeCell="A2" sqref="A2"/>
      <selection pane="bottomRight" activeCell="C81" sqref="C81"/>
    </sheetView>
  </sheetViews>
  <sheetFormatPr baseColWidth="10" defaultColWidth="13.5703125" defaultRowHeight="15" x14ac:dyDescent="0.25"/>
  <cols>
    <col min="1" max="1" width="7" style="2" customWidth="1"/>
    <col min="2" max="3" width="20.140625" style="6" customWidth="1"/>
    <col min="4" max="16384" width="13.5703125" style="1"/>
  </cols>
  <sheetData>
    <row r="1" spans="1:5" s="3" customFormat="1" x14ac:dyDescent="0.25">
      <c r="A1" s="9" t="s">
        <v>0</v>
      </c>
      <c r="B1" s="5" t="s">
        <v>79</v>
      </c>
      <c r="C1" s="5" t="s">
        <v>1</v>
      </c>
    </row>
    <row r="2" spans="1:5" x14ac:dyDescent="0.25">
      <c r="A2" s="8">
        <v>1945</v>
      </c>
    </row>
    <row r="3" spans="1:5" x14ac:dyDescent="0.25">
      <c r="A3" s="8">
        <v>1946</v>
      </c>
    </row>
    <row r="4" spans="1:5" x14ac:dyDescent="0.25">
      <c r="A4" s="8">
        <v>1947</v>
      </c>
      <c r="B4" s="67">
        <v>0</v>
      </c>
      <c r="C4" s="67">
        <v>0</v>
      </c>
    </row>
    <row r="5" spans="1:5" x14ac:dyDescent="0.25">
      <c r="A5" s="8">
        <v>1948</v>
      </c>
    </row>
    <row r="6" spans="1:5" x14ac:dyDescent="0.25">
      <c r="A6" s="8">
        <v>1949</v>
      </c>
    </row>
    <row r="7" spans="1:5" x14ac:dyDescent="0.25">
      <c r="A7" s="8">
        <v>1950</v>
      </c>
      <c r="B7" s="7"/>
      <c r="C7" s="7"/>
    </row>
    <row r="8" spans="1:5" x14ac:dyDescent="0.25">
      <c r="A8" s="8">
        <v>1951</v>
      </c>
      <c r="B8" s="7"/>
      <c r="C8" s="1"/>
    </row>
    <row r="9" spans="1:5" x14ac:dyDescent="0.25">
      <c r="A9" s="8">
        <v>1952</v>
      </c>
      <c r="B9" s="7"/>
      <c r="C9" s="1"/>
    </row>
    <row r="10" spans="1:5" x14ac:dyDescent="0.25">
      <c r="A10" s="8">
        <v>1953</v>
      </c>
      <c r="B10" s="6">
        <v>0.89</v>
      </c>
      <c r="C10" s="1"/>
      <c r="E10" s="45"/>
    </row>
    <row r="11" spans="1:5" x14ac:dyDescent="0.25">
      <c r="A11" s="8">
        <v>1954</v>
      </c>
      <c r="B11" s="7"/>
      <c r="C11" s="1"/>
      <c r="E11" s="45"/>
    </row>
    <row r="12" spans="1:5" x14ac:dyDescent="0.25">
      <c r="A12" s="8">
        <v>1955</v>
      </c>
      <c r="B12" s="7"/>
      <c r="C12" s="1"/>
      <c r="E12" s="45"/>
    </row>
    <row r="13" spans="1:5" x14ac:dyDescent="0.25">
      <c r="A13" s="8">
        <v>1956</v>
      </c>
      <c r="B13" s="7"/>
      <c r="C13" s="1"/>
      <c r="E13" s="45"/>
    </row>
    <row r="14" spans="1:5" x14ac:dyDescent="0.25">
      <c r="A14" s="8">
        <v>1957</v>
      </c>
      <c r="B14" s="7"/>
      <c r="C14" s="1"/>
      <c r="E14" s="45"/>
    </row>
    <row r="15" spans="1:5" x14ac:dyDescent="0.25">
      <c r="A15" s="8">
        <v>1958</v>
      </c>
      <c r="B15" s="6">
        <f>12*0.5638</f>
        <v>6.7655999999999992</v>
      </c>
      <c r="C15" s="45"/>
      <c r="D15" s="45"/>
      <c r="E15" s="45"/>
    </row>
    <row r="16" spans="1:5" x14ac:dyDescent="0.25">
      <c r="A16" s="8">
        <v>1959</v>
      </c>
      <c r="B16" s="7"/>
      <c r="C16" s="45"/>
      <c r="D16" s="45"/>
      <c r="E16" s="45"/>
    </row>
    <row r="17" spans="1:5" x14ac:dyDescent="0.25">
      <c r="A17" s="8">
        <v>1960</v>
      </c>
      <c r="B17" s="6">
        <f>12*1.09</f>
        <v>13.080000000000002</v>
      </c>
      <c r="C17" s="45"/>
      <c r="D17" s="45"/>
      <c r="E17" s="45"/>
    </row>
    <row r="18" spans="1:5" x14ac:dyDescent="0.25">
      <c r="A18" s="8">
        <v>1961</v>
      </c>
      <c r="B18" s="6">
        <v>17</v>
      </c>
      <c r="C18" s="45"/>
      <c r="D18" s="45"/>
      <c r="E18" s="45"/>
    </row>
    <row r="19" spans="1:5" x14ac:dyDescent="0.25">
      <c r="A19" s="8">
        <v>1962</v>
      </c>
      <c r="B19" s="6">
        <v>20</v>
      </c>
      <c r="C19" s="45"/>
      <c r="D19" s="45"/>
      <c r="E19" s="45"/>
    </row>
    <row r="20" spans="1:5" x14ac:dyDescent="0.25">
      <c r="A20" s="8">
        <v>1963</v>
      </c>
      <c r="B20" s="6">
        <v>21</v>
      </c>
      <c r="C20" s="45"/>
      <c r="D20" s="45"/>
      <c r="E20" s="45"/>
    </row>
    <row r="21" spans="1:5" x14ac:dyDescent="0.25">
      <c r="A21" s="8">
        <v>1964</v>
      </c>
      <c r="B21" s="6">
        <v>25</v>
      </c>
      <c r="C21" s="45"/>
      <c r="D21" s="45"/>
      <c r="E21" s="45"/>
    </row>
    <row r="22" spans="1:5" x14ac:dyDescent="0.25">
      <c r="A22" s="8">
        <v>1965</v>
      </c>
      <c r="B22" s="6">
        <v>34</v>
      </c>
      <c r="C22" s="45"/>
      <c r="D22" s="45"/>
      <c r="E22" s="45"/>
    </row>
    <row r="23" spans="1:5" x14ac:dyDescent="0.25">
      <c r="A23" s="8">
        <v>1966</v>
      </c>
      <c r="B23" s="6">
        <v>32</v>
      </c>
      <c r="C23" s="45"/>
      <c r="D23" s="45"/>
      <c r="E23" s="45"/>
    </row>
    <row r="24" spans="1:5" x14ac:dyDescent="0.25">
      <c r="A24" s="8">
        <v>1967</v>
      </c>
      <c r="B24" s="6">
        <v>36</v>
      </c>
      <c r="C24" s="45"/>
      <c r="D24" s="45"/>
      <c r="E24" s="45"/>
    </row>
    <row r="25" spans="1:5" x14ac:dyDescent="0.25">
      <c r="A25" s="8">
        <v>1968</v>
      </c>
      <c r="B25" s="6">
        <v>37</v>
      </c>
      <c r="C25" s="45"/>
      <c r="D25" s="45"/>
      <c r="E25" s="45"/>
    </row>
    <row r="26" spans="1:5" x14ac:dyDescent="0.25">
      <c r="A26" s="8">
        <v>1969</v>
      </c>
      <c r="B26" s="6">
        <v>42</v>
      </c>
      <c r="C26" s="45"/>
      <c r="D26" s="45"/>
      <c r="E26" s="45"/>
    </row>
    <row r="27" spans="1:5" x14ac:dyDescent="0.25">
      <c r="A27" s="8">
        <v>1970</v>
      </c>
      <c r="B27" s="6">
        <v>47</v>
      </c>
      <c r="C27" s="45"/>
      <c r="D27" s="45"/>
      <c r="E27" s="45"/>
    </row>
    <row r="28" spans="1:5" x14ac:dyDescent="0.25">
      <c r="A28" s="8">
        <v>1971</v>
      </c>
      <c r="B28" s="6">
        <v>45</v>
      </c>
      <c r="C28" s="45"/>
      <c r="D28" s="45"/>
      <c r="E28" s="45"/>
    </row>
    <row r="29" spans="1:5" x14ac:dyDescent="0.25">
      <c r="A29" s="8">
        <v>1972</v>
      </c>
      <c r="B29" s="6">
        <v>44</v>
      </c>
      <c r="C29" s="45"/>
      <c r="D29" s="45"/>
      <c r="E29" s="45"/>
    </row>
    <row r="30" spans="1:5" x14ac:dyDescent="0.25">
      <c r="A30" s="8">
        <v>1973</v>
      </c>
      <c r="B30" s="6">
        <v>40</v>
      </c>
      <c r="C30" s="45"/>
      <c r="D30" s="45"/>
      <c r="E30" s="45"/>
    </row>
    <row r="31" spans="1:5" x14ac:dyDescent="0.25">
      <c r="A31" s="8">
        <v>1974</v>
      </c>
      <c r="B31" s="6">
        <v>34</v>
      </c>
      <c r="C31" s="45"/>
      <c r="D31" s="45"/>
      <c r="E31" s="45"/>
    </row>
    <row r="32" spans="1:5" x14ac:dyDescent="0.25">
      <c r="A32" s="8">
        <v>1975</v>
      </c>
      <c r="B32" s="6">
        <v>34</v>
      </c>
      <c r="C32" s="45"/>
      <c r="D32" s="45"/>
      <c r="E32" s="45"/>
    </row>
    <row r="33" spans="1:5" x14ac:dyDescent="0.25">
      <c r="A33" s="8">
        <v>1976</v>
      </c>
      <c r="B33" s="6">
        <v>32</v>
      </c>
      <c r="C33" s="45"/>
      <c r="D33" s="45"/>
      <c r="E33" s="45"/>
    </row>
    <row r="34" spans="1:5" x14ac:dyDescent="0.25">
      <c r="A34" s="8">
        <v>1977</v>
      </c>
      <c r="B34" s="6">
        <v>26</v>
      </c>
      <c r="C34" s="45"/>
      <c r="D34" s="45"/>
      <c r="E34" s="45"/>
    </row>
    <row r="35" spans="1:5" x14ac:dyDescent="0.25">
      <c r="A35" s="8">
        <v>1978</v>
      </c>
      <c r="B35" s="6">
        <v>33</v>
      </c>
      <c r="C35" s="45"/>
      <c r="D35" s="45"/>
      <c r="E35" s="45"/>
    </row>
    <row r="36" spans="1:5" x14ac:dyDescent="0.25">
      <c r="A36" s="8">
        <v>1979</v>
      </c>
      <c r="B36" s="6">
        <v>41</v>
      </c>
      <c r="C36" s="45"/>
      <c r="D36" s="45"/>
      <c r="E36" s="45"/>
    </row>
    <row r="37" spans="1:5" x14ac:dyDescent="0.25">
      <c r="A37" s="8">
        <v>1980</v>
      </c>
      <c r="B37" s="6">
        <v>54</v>
      </c>
      <c r="C37" s="45"/>
      <c r="D37" s="45"/>
      <c r="E37" s="45"/>
    </row>
    <row r="38" spans="1:5" x14ac:dyDescent="0.25">
      <c r="A38" s="8">
        <v>1981</v>
      </c>
      <c r="B38" s="6">
        <v>39</v>
      </c>
      <c r="C38" s="45"/>
      <c r="D38" s="45"/>
      <c r="E38" s="45"/>
    </row>
    <row r="39" spans="1:5" x14ac:dyDescent="0.25">
      <c r="A39" s="8">
        <v>1982</v>
      </c>
      <c r="B39" s="6">
        <v>29</v>
      </c>
      <c r="C39" s="45"/>
      <c r="D39" s="45"/>
      <c r="E39" s="45"/>
    </row>
    <row r="40" spans="1:5" x14ac:dyDescent="0.25">
      <c r="A40" s="8">
        <v>1983</v>
      </c>
      <c r="B40" s="6">
        <v>25</v>
      </c>
      <c r="C40" s="45"/>
      <c r="D40" s="45"/>
      <c r="E40" s="45"/>
    </row>
    <row r="41" spans="1:5" x14ac:dyDescent="0.25">
      <c r="A41" s="8">
        <v>1984</v>
      </c>
      <c r="B41" s="6">
        <v>24</v>
      </c>
      <c r="C41" s="45"/>
      <c r="D41" s="45"/>
      <c r="E41" s="45"/>
    </row>
    <row r="42" spans="1:5" x14ac:dyDescent="0.25">
      <c r="A42" s="8">
        <v>1985</v>
      </c>
      <c r="B42" s="6">
        <v>27</v>
      </c>
      <c r="C42" s="45"/>
      <c r="D42" s="45"/>
      <c r="E42" s="45"/>
    </row>
    <row r="43" spans="1:5" x14ac:dyDescent="0.25">
      <c r="A43" s="8">
        <v>1986</v>
      </c>
      <c r="B43" s="6">
        <v>28</v>
      </c>
      <c r="C43" s="45"/>
      <c r="D43" s="45"/>
      <c r="E43" s="45"/>
    </row>
    <row r="44" spans="1:5" x14ac:dyDescent="0.25">
      <c r="A44" s="8">
        <v>1987</v>
      </c>
      <c r="B44" s="6">
        <v>32</v>
      </c>
      <c r="C44" s="45"/>
      <c r="D44" s="45"/>
      <c r="E44" s="45"/>
    </row>
    <row r="45" spans="1:5" x14ac:dyDescent="0.25">
      <c r="A45" s="8">
        <v>1988</v>
      </c>
      <c r="B45" s="6">
        <v>37</v>
      </c>
      <c r="C45" s="45"/>
      <c r="D45" s="45"/>
      <c r="E45" s="45"/>
    </row>
    <row r="46" spans="1:5" x14ac:dyDescent="0.25">
      <c r="A46" s="8">
        <v>1989</v>
      </c>
      <c r="B46" s="6">
        <v>32</v>
      </c>
      <c r="C46" s="45"/>
      <c r="D46" s="45"/>
      <c r="E46" s="45"/>
    </row>
    <row r="47" spans="1:5" x14ac:dyDescent="0.25">
      <c r="A47" s="8">
        <v>1990</v>
      </c>
      <c r="B47" s="6">
        <v>30</v>
      </c>
      <c r="C47" s="45"/>
      <c r="D47" s="45"/>
      <c r="E47" s="45"/>
    </row>
    <row r="48" spans="1:5" x14ac:dyDescent="0.25">
      <c r="A48" s="8">
        <v>1991</v>
      </c>
      <c r="B48" s="6">
        <v>28</v>
      </c>
      <c r="C48" s="45"/>
      <c r="D48" s="45"/>
      <c r="E48" s="45"/>
    </row>
    <row r="49" spans="1:5" x14ac:dyDescent="0.25">
      <c r="A49" s="8">
        <v>1992</v>
      </c>
      <c r="B49" s="6">
        <v>26</v>
      </c>
      <c r="C49" s="45"/>
      <c r="D49" s="45"/>
      <c r="E49" s="45"/>
    </row>
    <row r="50" spans="1:5" x14ac:dyDescent="0.25">
      <c r="A50" s="8">
        <v>1993</v>
      </c>
      <c r="B50" s="6">
        <v>27</v>
      </c>
      <c r="C50" s="45"/>
      <c r="D50" s="45"/>
      <c r="E50" s="45"/>
    </row>
    <row r="51" spans="1:5" x14ac:dyDescent="0.25">
      <c r="A51" s="8">
        <v>1994</v>
      </c>
      <c r="B51" s="7"/>
      <c r="C51" s="7"/>
      <c r="E51" s="45"/>
    </row>
    <row r="52" spans="1:5" x14ac:dyDescent="0.25">
      <c r="A52" s="8">
        <v>1995</v>
      </c>
      <c r="B52" s="45">
        <f t="shared" ref="B52:B59" si="0">C52*AVERAGE($B$61/$C$61, $B$62/$C$62)</f>
        <v>33.389784605951434</v>
      </c>
      <c r="C52" s="6">
        <v>1161.9390000000001</v>
      </c>
      <c r="D52" s="20"/>
      <c r="E52" s="45"/>
    </row>
    <row r="53" spans="1:5" x14ac:dyDescent="0.25">
      <c r="A53" s="8">
        <v>1996</v>
      </c>
      <c r="B53" s="45">
        <f t="shared" si="0"/>
        <v>29.71703157786472</v>
      </c>
      <c r="C53" s="6">
        <v>1034.1300000000001</v>
      </c>
      <c r="D53" s="20"/>
      <c r="E53" s="45"/>
    </row>
    <row r="54" spans="1:5" x14ac:dyDescent="0.25">
      <c r="A54" s="8">
        <v>1997</v>
      </c>
      <c r="B54" s="45">
        <f t="shared" si="0"/>
        <v>33.443061637413003</v>
      </c>
      <c r="C54" s="6">
        <v>1163.7929999999999</v>
      </c>
      <c r="D54" s="20"/>
      <c r="E54" s="45"/>
    </row>
    <row r="55" spans="1:5" x14ac:dyDescent="0.25">
      <c r="A55" s="8">
        <v>1998</v>
      </c>
      <c r="B55" s="45">
        <f t="shared" si="0"/>
        <v>38.568978745316613</v>
      </c>
      <c r="C55" s="6">
        <v>1342.171</v>
      </c>
      <c r="D55" s="20"/>
      <c r="E55" s="45"/>
    </row>
    <row r="56" spans="1:5" x14ac:dyDescent="0.25">
      <c r="A56" s="8">
        <v>1999</v>
      </c>
      <c r="B56" s="45">
        <f t="shared" si="0"/>
        <v>43.228218943330234</v>
      </c>
      <c r="C56" s="6">
        <v>1504.309</v>
      </c>
      <c r="D56" s="20"/>
      <c r="E56" s="45"/>
    </row>
    <row r="57" spans="1:5" x14ac:dyDescent="0.25">
      <c r="A57" s="8">
        <v>2000</v>
      </c>
      <c r="B57" s="45">
        <f t="shared" si="0"/>
        <v>47.396011572813173</v>
      </c>
      <c r="C57" s="6">
        <v>1649.345</v>
      </c>
      <c r="D57" s="20"/>
      <c r="E57" s="45"/>
    </row>
    <row r="58" spans="1:5" x14ac:dyDescent="0.25">
      <c r="A58" s="8">
        <v>2001</v>
      </c>
      <c r="B58" s="45">
        <f t="shared" si="0"/>
        <v>49.72916623215967</v>
      </c>
      <c r="C58" s="6">
        <v>1730.537</v>
      </c>
      <c r="D58" s="20"/>
      <c r="E58" s="45"/>
    </row>
    <row r="59" spans="1:5" x14ac:dyDescent="0.25">
      <c r="A59" s="8">
        <v>2002</v>
      </c>
      <c r="B59" s="45">
        <f t="shared" si="0"/>
        <v>44.651411100917123</v>
      </c>
      <c r="C59" s="6">
        <v>1553.835</v>
      </c>
      <c r="D59" s="20"/>
      <c r="E59" s="45"/>
    </row>
    <row r="60" spans="1:5" x14ac:dyDescent="0.25">
      <c r="A60" s="8">
        <v>2003</v>
      </c>
      <c r="B60" s="45">
        <f>C60*AVERAGE($B$61/$C$61, $B$62/$C$62)</f>
        <v>36.83376824489811</v>
      </c>
      <c r="C60" s="6">
        <v>1281.787</v>
      </c>
      <c r="D60" s="20"/>
      <c r="E60" s="45"/>
    </row>
    <row r="61" spans="1:5" x14ac:dyDescent="0.25">
      <c r="A61" s="8">
        <v>2004</v>
      </c>
      <c r="B61" s="68">
        <v>34.1</v>
      </c>
      <c r="C61" s="6">
        <v>1129.606</v>
      </c>
      <c r="D61" s="64"/>
      <c r="E61" s="45"/>
    </row>
    <row r="62" spans="1:5" x14ac:dyDescent="0.25">
      <c r="A62" s="8">
        <v>2005</v>
      </c>
      <c r="B62" s="68">
        <v>30.9</v>
      </c>
      <c r="C62" s="6">
        <v>1132.49</v>
      </c>
      <c r="D62" s="64"/>
      <c r="E62" s="45"/>
    </row>
    <row r="63" spans="1:5" x14ac:dyDescent="0.25">
      <c r="A63" s="8">
        <v>2006</v>
      </c>
      <c r="B63" s="45">
        <f t="shared" ref="B63:B80" si="1">C63*AVERAGE($B$61/$C$61, $B$62/$C$62)</f>
        <v>24.297027555194241</v>
      </c>
      <c r="C63" s="6">
        <v>845.51800000000003</v>
      </c>
      <c r="D63" s="20"/>
      <c r="E63" s="45"/>
    </row>
    <row r="64" spans="1:5" x14ac:dyDescent="0.25">
      <c r="A64" s="8">
        <v>2007</v>
      </c>
      <c r="B64" s="45">
        <f t="shared" si="1"/>
        <v>29.162967692422068</v>
      </c>
      <c r="C64" s="6">
        <v>1014.849</v>
      </c>
      <c r="D64" s="20"/>
      <c r="E64" s="45"/>
    </row>
    <row r="65" spans="1:5" x14ac:dyDescent="0.25">
      <c r="A65" s="8">
        <v>2008</v>
      </c>
      <c r="B65" s="45">
        <f t="shared" si="1"/>
        <v>30.717168472680651</v>
      </c>
      <c r="C65" s="6">
        <v>1068.934</v>
      </c>
      <c r="D65" s="20"/>
      <c r="E65" s="45"/>
    </row>
    <row r="66" spans="1:5" x14ac:dyDescent="0.25">
      <c r="A66" s="8">
        <v>2009</v>
      </c>
      <c r="B66" s="45">
        <f t="shared" si="1"/>
        <v>24.857298473428532</v>
      </c>
      <c r="C66" s="6">
        <v>865.01499999999999</v>
      </c>
      <c r="D66" s="20"/>
      <c r="E66" s="45"/>
    </row>
    <row r="67" spans="1:5" x14ac:dyDescent="0.25">
      <c r="A67" s="8">
        <v>2010</v>
      </c>
      <c r="B67" s="45">
        <f t="shared" si="1"/>
        <v>23.718710263843516</v>
      </c>
      <c r="C67" s="6">
        <v>825.39300000000003</v>
      </c>
      <c r="D67" s="20"/>
      <c r="E67" s="45"/>
    </row>
    <row r="68" spans="1:5" x14ac:dyDescent="0.25">
      <c r="A68" s="8">
        <v>2011</v>
      </c>
      <c r="B68" s="45">
        <f t="shared" si="1"/>
        <v>20.406539862930412</v>
      </c>
      <c r="C68" s="6">
        <v>710.13199999999995</v>
      </c>
      <c r="D68" s="20"/>
      <c r="E68" s="45"/>
    </row>
    <row r="69" spans="1:5" x14ac:dyDescent="0.25">
      <c r="A69" s="8">
        <v>2012</v>
      </c>
      <c r="B69" s="45">
        <f t="shared" si="1"/>
        <v>15.997678723775863</v>
      </c>
      <c r="C69" s="6">
        <v>556.70699999999999</v>
      </c>
      <c r="D69" s="20"/>
      <c r="E69" s="45"/>
    </row>
    <row r="70" spans="1:5" x14ac:dyDescent="0.25">
      <c r="A70" s="8">
        <v>2013</v>
      </c>
      <c r="B70" s="45">
        <f t="shared" si="1"/>
        <v>16.158371906048323</v>
      </c>
      <c r="C70" s="6">
        <v>562.29899999999998</v>
      </c>
      <c r="D70" s="20"/>
      <c r="E70" s="45"/>
    </row>
    <row r="71" spans="1:5" x14ac:dyDescent="0.25">
      <c r="A71" s="8">
        <v>2014</v>
      </c>
      <c r="B71" s="45">
        <f t="shared" si="1"/>
        <v>14.990645125858105</v>
      </c>
      <c r="C71" s="6">
        <v>521.66300000000001</v>
      </c>
      <c r="D71" s="20"/>
      <c r="E71" s="45"/>
    </row>
    <row r="72" spans="1:5" x14ac:dyDescent="0.25">
      <c r="A72" s="8">
        <v>2015</v>
      </c>
      <c r="B72" s="45">
        <f t="shared" si="1"/>
        <v>20.632608043355564</v>
      </c>
      <c r="C72" s="6">
        <v>717.99900000000002</v>
      </c>
      <c r="D72" s="20"/>
      <c r="E72" s="45"/>
    </row>
    <row r="73" spans="1:5" x14ac:dyDescent="0.25">
      <c r="A73" s="8">
        <v>2016</v>
      </c>
      <c r="B73" s="45">
        <f t="shared" si="1"/>
        <v>22.581328977301315</v>
      </c>
      <c r="C73" s="6">
        <v>785.81299999999999</v>
      </c>
      <c r="D73" s="20"/>
      <c r="E73" s="45"/>
    </row>
    <row r="74" spans="1:5" x14ac:dyDescent="0.25">
      <c r="A74" s="8">
        <v>2017</v>
      </c>
      <c r="B74" s="45">
        <f t="shared" si="1"/>
        <v>20.691086338406432</v>
      </c>
      <c r="C74" s="6">
        <v>720.03399999999999</v>
      </c>
      <c r="D74" s="20"/>
      <c r="E74" s="45"/>
    </row>
    <row r="75" spans="1:5" x14ac:dyDescent="0.25">
      <c r="A75" s="8">
        <v>2018</v>
      </c>
      <c r="B75" s="45">
        <f t="shared" si="1"/>
        <v>21.879474491639193</v>
      </c>
      <c r="C75" s="6">
        <v>761.38900000000001</v>
      </c>
      <c r="D75" s="20"/>
      <c r="E75" s="45"/>
    </row>
    <row r="76" spans="1:5" x14ac:dyDescent="0.25">
      <c r="A76" s="8">
        <v>2019</v>
      </c>
      <c r="B76" s="45">
        <f t="shared" si="1"/>
        <v>47.502421954421706</v>
      </c>
      <c r="C76" s="62">
        <v>1653.048</v>
      </c>
      <c r="E76" s="45"/>
    </row>
    <row r="77" spans="1:5" x14ac:dyDescent="0.25">
      <c r="A77" s="8">
        <v>2020</v>
      </c>
      <c r="B77" s="45">
        <f t="shared" si="1"/>
        <v>32.152659750799124</v>
      </c>
      <c r="C77" s="6">
        <v>1118.8879999999999</v>
      </c>
      <c r="E77" s="45"/>
    </row>
    <row r="78" spans="1:5" x14ac:dyDescent="0.25">
      <c r="A78" s="8">
        <v>2021</v>
      </c>
      <c r="B78" s="45">
        <f t="shared" si="1"/>
        <v>19.956041469066793</v>
      </c>
      <c r="C78" s="6">
        <v>694.45500000000004</v>
      </c>
    </row>
    <row r="79" spans="1:5" x14ac:dyDescent="0.25">
      <c r="A79" s="8">
        <v>2022</v>
      </c>
      <c r="B79" s="45">
        <f t="shared" si="1"/>
        <v>33.565478117470356</v>
      </c>
      <c r="C79" s="6">
        <v>1168.0530000000001</v>
      </c>
    </row>
    <row r="80" spans="1:5" x14ac:dyDescent="0.25">
      <c r="A80" s="8">
        <v>2023</v>
      </c>
      <c r="B80" s="45">
        <f t="shared" si="1"/>
        <v>21.070519954058359</v>
      </c>
      <c r="C80" s="6">
        <v>733.23800000000006</v>
      </c>
    </row>
    <row r="81" spans="2:2" x14ac:dyDescent="0.25">
      <c r="B81" s="20"/>
    </row>
  </sheetData>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80"/>
  <sheetViews>
    <sheetView tabSelected="1" zoomScale="85" zoomScaleNormal="85" workbookViewId="0">
      <pane xSplit="1" ySplit="1" topLeftCell="B40" activePane="bottomRight" state="frozen"/>
      <selection pane="topRight" activeCell="B1" sqref="B1"/>
      <selection pane="bottomLeft" activeCell="A2" sqref="A2"/>
      <selection pane="bottomRight" activeCell="B63" sqref="B63"/>
    </sheetView>
  </sheetViews>
  <sheetFormatPr baseColWidth="10" defaultColWidth="13.5703125" defaultRowHeight="15" x14ac:dyDescent="0.25"/>
  <cols>
    <col min="1" max="1" width="7" style="2" customWidth="1"/>
    <col min="2" max="2" width="26.42578125" style="4" customWidth="1"/>
    <col min="3" max="4" width="22.28515625" style="1" customWidth="1"/>
    <col min="5" max="16384" width="13.5703125" style="1"/>
  </cols>
  <sheetData>
    <row r="1" spans="1:4" s="3" customFormat="1" x14ac:dyDescent="0.25">
      <c r="A1" s="54" t="s">
        <v>0</v>
      </c>
      <c r="B1" s="5" t="s">
        <v>70</v>
      </c>
      <c r="C1" s="5" t="s">
        <v>73</v>
      </c>
      <c r="D1" s="5" t="s">
        <v>74</v>
      </c>
    </row>
    <row r="2" spans="1:4" x14ac:dyDescent="0.25">
      <c r="A2" s="2">
        <v>1945</v>
      </c>
      <c r="B2" s="7"/>
    </row>
    <row r="3" spans="1:4" x14ac:dyDescent="0.25">
      <c r="A3" s="2">
        <v>1946</v>
      </c>
      <c r="B3" s="1"/>
    </row>
    <row r="4" spans="1:4" x14ac:dyDescent="0.25">
      <c r="A4" s="2">
        <v>1947</v>
      </c>
      <c r="B4" s="7">
        <f>2*4</f>
        <v>8</v>
      </c>
      <c r="C4" s="7">
        <f>2*3</f>
        <v>6</v>
      </c>
      <c r="D4" s="7">
        <f>2*5.5</f>
        <v>11</v>
      </c>
    </row>
    <row r="5" spans="1:4" x14ac:dyDescent="0.25">
      <c r="A5" s="2">
        <v>1948</v>
      </c>
      <c r="B5" s="7"/>
      <c r="C5" s="7"/>
      <c r="D5" s="7"/>
    </row>
    <row r="6" spans="1:4" x14ac:dyDescent="0.25">
      <c r="A6" s="2">
        <v>1949</v>
      </c>
      <c r="B6" s="7"/>
      <c r="C6" s="7"/>
      <c r="D6" s="7"/>
    </row>
    <row r="7" spans="1:4" x14ac:dyDescent="0.25">
      <c r="A7" s="2">
        <v>1950</v>
      </c>
      <c r="C7" s="4"/>
      <c r="D7" s="4"/>
    </row>
    <row r="8" spans="1:4" x14ac:dyDescent="0.25">
      <c r="A8" s="2">
        <v>1951</v>
      </c>
      <c r="B8" s="7"/>
      <c r="C8" s="7"/>
      <c r="D8" s="7"/>
    </row>
    <row r="9" spans="1:4" x14ac:dyDescent="0.25">
      <c r="A9" s="2">
        <v>1952</v>
      </c>
      <c r="B9" s="7"/>
      <c r="C9" s="7"/>
      <c r="D9" s="7"/>
    </row>
    <row r="10" spans="1:4" x14ac:dyDescent="0.25">
      <c r="A10" s="2">
        <v>1953</v>
      </c>
      <c r="C10" s="4"/>
      <c r="D10" s="4"/>
    </row>
    <row r="11" spans="1:4" x14ac:dyDescent="0.25">
      <c r="A11" s="2">
        <v>1954</v>
      </c>
      <c r="B11" s="7"/>
      <c r="C11" s="7"/>
      <c r="D11" s="7"/>
    </row>
    <row r="12" spans="1:4" x14ac:dyDescent="0.25">
      <c r="A12" s="2">
        <v>1955</v>
      </c>
      <c r="B12" s="7">
        <f>2*4</f>
        <v>8</v>
      </c>
      <c r="C12" s="7">
        <f>2*3</f>
        <v>6</v>
      </c>
      <c r="D12" s="7">
        <f>2*5.5</f>
        <v>11</v>
      </c>
    </row>
    <row r="13" spans="1:4" x14ac:dyDescent="0.25">
      <c r="A13" s="2">
        <v>1956</v>
      </c>
      <c r="B13" s="1"/>
    </row>
    <row r="14" spans="1:4" x14ac:dyDescent="0.25">
      <c r="A14" s="2">
        <v>1957</v>
      </c>
      <c r="B14" s="1"/>
    </row>
    <row r="15" spans="1:4" x14ac:dyDescent="0.25">
      <c r="A15" s="2">
        <v>1958</v>
      </c>
      <c r="B15" s="7"/>
      <c r="C15" s="7"/>
      <c r="D15" s="7"/>
    </row>
    <row r="16" spans="1:4" x14ac:dyDescent="0.25">
      <c r="A16" s="2">
        <v>1959</v>
      </c>
      <c r="B16" s="7"/>
      <c r="C16" s="7"/>
      <c r="D16" s="7"/>
    </row>
    <row r="17" spans="1:4" x14ac:dyDescent="0.25">
      <c r="A17" s="2">
        <v>1960</v>
      </c>
      <c r="B17" s="7"/>
      <c r="C17" s="7"/>
      <c r="D17" s="7"/>
    </row>
    <row r="18" spans="1:4" x14ac:dyDescent="0.25">
      <c r="A18" s="2">
        <v>1961</v>
      </c>
      <c r="B18" s="7"/>
      <c r="C18" s="7"/>
      <c r="D18" s="7"/>
    </row>
    <row r="19" spans="1:4" x14ac:dyDescent="0.25">
      <c r="A19" s="2">
        <v>1962</v>
      </c>
      <c r="B19" s="7"/>
      <c r="C19" s="7"/>
      <c r="D19" s="7"/>
    </row>
    <row r="20" spans="1:4" x14ac:dyDescent="0.25">
      <c r="A20" s="2">
        <v>1963</v>
      </c>
      <c r="B20" s="7"/>
      <c r="C20" s="7"/>
      <c r="D20" s="7"/>
    </row>
    <row r="21" spans="1:4" x14ac:dyDescent="0.25">
      <c r="A21" s="2">
        <v>1964</v>
      </c>
      <c r="B21" s="7"/>
      <c r="C21" s="7"/>
      <c r="D21" s="7"/>
    </row>
    <row r="22" spans="1:4" x14ac:dyDescent="0.25">
      <c r="A22" s="2">
        <v>1965</v>
      </c>
      <c r="B22" s="7"/>
      <c r="C22" s="7"/>
      <c r="D22" s="7"/>
    </row>
    <row r="23" spans="1:4" x14ac:dyDescent="0.25">
      <c r="A23" s="2">
        <v>1966</v>
      </c>
      <c r="B23" s="7"/>
      <c r="C23" s="7"/>
      <c r="D23" s="7"/>
    </row>
    <row r="24" spans="1:4" x14ac:dyDescent="0.25">
      <c r="A24" s="2">
        <v>1967</v>
      </c>
      <c r="B24" s="7"/>
      <c r="C24" s="7"/>
      <c r="D24" s="7"/>
    </row>
    <row r="25" spans="1:4" x14ac:dyDescent="0.25">
      <c r="A25" s="2">
        <v>1968</v>
      </c>
      <c r="B25" s="7"/>
      <c r="C25" s="7"/>
      <c r="D25" s="7"/>
    </row>
    <row r="26" spans="1:4" x14ac:dyDescent="0.25">
      <c r="A26" s="2">
        <v>1969</v>
      </c>
      <c r="B26" s="7"/>
      <c r="C26" s="7"/>
      <c r="D26" s="7"/>
    </row>
    <row r="27" spans="1:4" x14ac:dyDescent="0.25">
      <c r="A27" s="2">
        <v>1970</v>
      </c>
      <c r="B27" s="7"/>
      <c r="C27" s="6"/>
      <c r="D27" s="6"/>
    </row>
    <row r="28" spans="1:4" x14ac:dyDescent="0.25">
      <c r="A28" s="2">
        <v>1971</v>
      </c>
      <c r="B28" s="6"/>
      <c r="C28" s="6"/>
      <c r="D28" s="6"/>
    </row>
    <row r="29" spans="1:4" x14ac:dyDescent="0.25">
      <c r="A29" s="2">
        <v>1972</v>
      </c>
      <c r="B29" s="6"/>
      <c r="C29" s="6"/>
      <c r="D29" s="6"/>
    </row>
    <row r="30" spans="1:4" x14ac:dyDescent="0.25">
      <c r="A30" s="2">
        <v>1973</v>
      </c>
      <c r="B30" s="6"/>
      <c r="C30" s="6"/>
      <c r="D30" s="6"/>
    </row>
    <row r="31" spans="1:4" x14ac:dyDescent="0.25">
      <c r="A31" s="2">
        <v>1974</v>
      </c>
      <c r="B31" s="6"/>
      <c r="C31" s="6"/>
      <c r="D31" s="6"/>
    </row>
    <row r="32" spans="1:4" x14ac:dyDescent="0.25">
      <c r="A32" s="2">
        <v>1975</v>
      </c>
      <c r="B32" s="6"/>
      <c r="C32" s="6"/>
      <c r="D32" s="6"/>
    </row>
    <row r="33" spans="1:4" x14ac:dyDescent="0.25">
      <c r="A33" s="2">
        <v>1976</v>
      </c>
      <c r="B33" s="6"/>
      <c r="C33" s="6"/>
      <c r="D33" s="6"/>
    </row>
    <row r="34" spans="1:4" x14ac:dyDescent="0.25">
      <c r="A34" s="2">
        <v>1977</v>
      </c>
      <c r="B34" s="6"/>
      <c r="C34" s="6"/>
      <c r="D34" s="6"/>
    </row>
    <row r="35" spans="1:4" x14ac:dyDescent="0.25">
      <c r="A35" s="2">
        <v>1978</v>
      </c>
      <c r="B35" s="6"/>
      <c r="C35" s="6"/>
      <c r="D35" s="6"/>
    </row>
    <row r="36" spans="1:4" x14ac:dyDescent="0.25">
      <c r="A36" s="2">
        <v>1979</v>
      </c>
      <c r="B36" s="7"/>
      <c r="C36" s="7"/>
      <c r="D36" s="7"/>
    </row>
    <row r="37" spans="1:4" x14ac:dyDescent="0.25">
      <c r="A37" s="2">
        <v>1980</v>
      </c>
      <c r="B37" s="7"/>
      <c r="C37" s="7"/>
      <c r="D37" s="7"/>
    </row>
    <row r="38" spans="1:4" x14ac:dyDescent="0.25">
      <c r="A38" s="2">
        <v>1981</v>
      </c>
      <c r="B38" s="7"/>
      <c r="C38" s="7"/>
      <c r="D38" s="7"/>
    </row>
    <row r="39" spans="1:4" x14ac:dyDescent="0.25">
      <c r="A39" s="2">
        <v>1982</v>
      </c>
      <c r="B39" s="6"/>
      <c r="C39" s="6"/>
      <c r="D39" s="6"/>
    </row>
    <row r="40" spans="1:4" x14ac:dyDescent="0.25">
      <c r="A40" s="2">
        <v>1983</v>
      </c>
      <c r="B40" s="6"/>
      <c r="C40" s="6"/>
      <c r="D40" s="6"/>
    </row>
    <row r="41" spans="1:4" x14ac:dyDescent="0.25">
      <c r="A41" s="2">
        <v>1984</v>
      </c>
      <c r="B41" s="6"/>
      <c r="C41" s="6"/>
      <c r="D41" s="6"/>
    </row>
    <row r="42" spans="1:4" x14ac:dyDescent="0.25">
      <c r="A42" s="2">
        <v>1985</v>
      </c>
      <c r="B42" s="6"/>
      <c r="C42" s="7"/>
      <c r="D42" s="7"/>
    </row>
    <row r="43" spans="1:4" x14ac:dyDescent="0.25">
      <c r="A43" s="2">
        <v>1986</v>
      </c>
      <c r="B43" s="6"/>
      <c r="C43" s="6"/>
      <c r="D43" s="6"/>
    </row>
    <row r="44" spans="1:4" x14ac:dyDescent="0.25">
      <c r="A44" s="2">
        <v>1987</v>
      </c>
      <c r="B44" s="6"/>
      <c r="C44" s="6"/>
      <c r="D44" s="6"/>
    </row>
    <row r="45" spans="1:4" x14ac:dyDescent="0.25">
      <c r="A45" s="2">
        <v>1988</v>
      </c>
      <c r="B45" s="6"/>
      <c r="C45" s="6"/>
      <c r="D45" s="6"/>
    </row>
    <row r="46" spans="1:4" x14ac:dyDescent="0.25">
      <c r="A46" s="2">
        <v>1989</v>
      </c>
      <c r="B46" s="6"/>
      <c r="C46" s="6"/>
      <c r="D46" s="6"/>
    </row>
    <row r="47" spans="1:4" x14ac:dyDescent="0.25">
      <c r="A47" s="2">
        <v>1990</v>
      </c>
      <c r="B47" s="6"/>
      <c r="C47" s="6"/>
      <c r="D47" s="6"/>
    </row>
    <row r="48" spans="1:4" x14ac:dyDescent="0.25">
      <c r="A48" s="2">
        <v>1991</v>
      </c>
      <c r="B48" s="6"/>
      <c r="C48" s="6"/>
      <c r="D48" s="6"/>
    </row>
    <row r="49" spans="1:4" x14ac:dyDescent="0.25">
      <c r="A49" s="2">
        <v>1992</v>
      </c>
      <c r="B49" s="6"/>
      <c r="C49" s="6"/>
      <c r="D49" s="6"/>
    </row>
    <row r="50" spans="1:4" x14ac:dyDescent="0.25">
      <c r="A50" s="2">
        <v>1993</v>
      </c>
      <c r="B50" s="6"/>
      <c r="C50" s="6"/>
      <c r="D50" s="6"/>
    </row>
    <row r="51" spans="1:4" x14ac:dyDescent="0.25">
      <c r="A51" s="2">
        <v>1994</v>
      </c>
      <c r="B51" s="6"/>
      <c r="C51" s="6"/>
      <c r="D51" s="6"/>
    </row>
    <row r="52" spans="1:4" x14ac:dyDescent="0.25">
      <c r="A52" s="2">
        <v>1995</v>
      </c>
      <c r="B52" s="6"/>
      <c r="C52" s="6"/>
      <c r="D52" s="6"/>
    </row>
    <row r="53" spans="1:4" x14ac:dyDescent="0.25">
      <c r="A53" s="2">
        <v>1996</v>
      </c>
      <c r="B53" s="6"/>
      <c r="C53" s="6"/>
      <c r="D53" s="6"/>
    </row>
    <row r="54" spans="1:4" x14ac:dyDescent="0.25">
      <c r="A54" s="2">
        <v>1997</v>
      </c>
      <c r="B54" s="6"/>
      <c r="C54" s="6"/>
      <c r="D54" s="6"/>
    </row>
    <row r="55" spans="1:4" x14ac:dyDescent="0.25">
      <c r="A55" s="2">
        <v>1998</v>
      </c>
      <c r="B55" s="6"/>
      <c r="C55" s="6"/>
      <c r="D55" s="6"/>
    </row>
    <row r="56" spans="1:4" x14ac:dyDescent="0.25">
      <c r="A56" s="2">
        <v>1999</v>
      </c>
      <c r="B56" s="6"/>
      <c r="C56" s="6"/>
      <c r="D56" s="6"/>
    </row>
    <row r="57" spans="1:4" x14ac:dyDescent="0.25">
      <c r="A57" s="2">
        <v>2000</v>
      </c>
      <c r="B57" s="6"/>
      <c r="C57" s="6"/>
      <c r="D57" s="6"/>
    </row>
    <row r="58" spans="1:4" x14ac:dyDescent="0.25">
      <c r="A58" s="2">
        <v>2001</v>
      </c>
      <c r="B58" s="6"/>
    </row>
    <row r="59" spans="1:4" x14ac:dyDescent="0.25">
      <c r="A59" s="2">
        <v>2002</v>
      </c>
      <c r="B59" s="6"/>
      <c r="C59" s="6"/>
      <c r="D59" s="6"/>
    </row>
    <row r="60" spans="1:4" x14ac:dyDescent="0.25">
      <c r="A60" s="2">
        <v>2003</v>
      </c>
      <c r="B60" s="6"/>
      <c r="C60" s="6"/>
      <c r="D60" s="6"/>
    </row>
    <row r="61" spans="1:4" x14ac:dyDescent="0.25">
      <c r="A61" s="2">
        <v>2004</v>
      </c>
      <c r="B61" s="1"/>
      <c r="C61" s="6"/>
      <c r="D61" s="6"/>
    </row>
    <row r="62" spans="1:4" x14ac:dyDescent="0.25">
      <c r="A62" s="2">
        <v>2005</v>
      </c>
      <c r="B62" s="6">
        <v>10.26</v>
      </c>
      <c r="C62" s="6">
        <f>2*4.5</f>
        <v>9</v>
      </c>
      <c r="D62" s="6">
        <f>2*6</f>
        <v>12</v>
      </c>
    </row>
    <row r="63" spans="1:4" x14ac:dyDescent="0.25">
      <c r="A63" s="2">
        <v>2006</v>
      </c>
      <c r="B63" s="6"/>
      <c r="C63" s="6"/>
      <c r="D63" s="6"/>
    </row>
    <row r="64" spans="1:4" x14ac:dyDescent="0.25">
      <c r="A64" s="2">
        <v>2007</v>
      </c>
      <c r="B64" s="6"/>
      <c r="C64" s="6"/>
      <c r="D64" s="6"/>
    </row>
    <row r="65" spans="1:4" x14ac:dyDescent="0.25">
      <c r="A65" s="2">
        <v>2008</v>
      </c>
      <c r="B65" s="6"/>
      <c r="C65" s="6"/>
      <c r="D65" s="6"/>
    </row>
    <row r="66" spans="1:4" x14ac:dyDescent="0.25">
      <c r="A66" s="2">
        <v>2009</v>
      </c>
      <c r="B66" s="6"/>
      <c r="C66" s="6"/>
      <c r="D66" s="6"/>
    </row>
    <row r="67" spans="1:4" x14ac:dyDescent="0.25">
      <c r="A67" s="2">
        <v>2010</v>
      </c>
      <c r="B67" s="6"/>
      <c r="C67" s="6"/>
      <c r="D67" s="6"/>
    </row>
    <row r="68" spans="1:4" x14ac:dyDescent="0.25">
      <c r="A68" s="2">
        <v>2011</v>
      </c>
      <c r="B68" s="6"/>
      <c r="C68" s="6"/>
      <c r="D68" s="6"/>
    </row>
    <row r="69" spans="1:4" x14ac:dyDescent="0.25">
      <c r="A69" s="2">
        <v>2012</v>
      </c>
      <c r="B69" s="6"/>
      <c r="C69" s="6"/>
      <c r="D69" s="6"/>
    </row>
    <row r="70" spans="1:4" x14ac:dyDescent="0.25">
      <c r="A70" s="2">
        <v>2013</v>
      </c>
      <c r="B70" s="6"/>
      <c r="C70" s="6"/>
      <c r="D70" s="6"/>
    </row>
    <row r="71" spans="1:4" x14ac:dyDescent="0.25">
      <c r="A71" s="2">
        <v>2014</v>
      </c>
      <c r="B71" s="6"/>
      <c r="C71" s="6"/>
      <c r="D71" s="6"/>
    </row>
    <row r="72" spans="1:4" x14ac:dyDescent="0.25">
      <c r="A72" s="2">
        <v>2015</v>
      </c>
      <c r="B72" s="6"/>
      <c r="C72" s="6"/>
      <c r="D72" s="6"/>
    </row>
    <row r="73" spans="1:4" x14ac:dyDescent="0.25">
      <c r="A73" s="2">
        <v>2016</v>
      </c>
      <c r="B73" s="6"/>
      <c r="C73" s="6"/>
      <c r="D73" s="6"/>
    </row>
    <row r="74" spans="1:4" x14ac:dyDescent="0.25">
      <c r="A74" s="2">
        <v>2017</v>
      </c>
      <c r="B74" s="6"/>
      <c r="C74" s="6"/>
      <c r="D74" s="6"/>
    </row>
    <row r="75" spans="1:4" x14ac:dyDescent="0.25">
      <c r="A75" s="2">
        <v>2018</v>
      </c>
      <c r="B75" s="6"/>
      <c r="C75" s="6"/>
      <c r="D75" s="6"/>
    </row>
    <row r="76" spans="1:4" x14ac:dyDescent="0.25">
      <c r="A76" s="2">
        <v>2019</v>
      </c>
      <c r="B76" s="1"/>
    </row>
    <row r="77" spans="1:4" x14ac:dyDescent="0.25">
      <c r="A77" s="2">
        <v>2020</v>
      </c>
      <c r="B77" s="6">
        <f>AVERAGE(C77:D77)</f>
        <v>11</v>
      </c>
      <c r="C77" s="6">
        <f>2*5</f>
        <v>10</v>
      </c>
      <c r="D77" s="6">
        <f>2*6</f>
        <v>12</v>
      </c>
    </row>
    <row r="78" spans="1:4" x14ac:dyDescent="0.25">
      <c r="A78" s="2">
        <v>2021</v>
      </c>
    </row>
    <row r="79" spans="1:4" x14ac:dyDescent="0.25">
      <c r="A79" s="2">
        <v>2022</v>
      </c>
    </row>
    <row r="80" spans="1:4" x14ac:dyDescent="0.25">
      <c r="A80" s="2">
        <v>2023</v>
      </c>
    </row>
  </sheetData>
  <pageMargins left="0.7" right="0.7"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88"/>
  <sheetViews>
    <sheetView workbookViewId="0">
      <selection activeCell="G71" sqref="G71"/>
    </sheetView>
  </sheetViews>
  <sheetFormatPr baseColWidth="10" defaultColWidth="10.7109375" defaultRowHeight="15" x14ac:dyDescent="0.25"/>
  <cols>
    <col min="1" max="1" width="8" style="16" bestFit="1" customWidth="1"/>
    <col min="2" max="4" width="15.140625" style="13" customWidth="1"/>
    <col min="5" max="16384" width="10.7109375" style="13"/>
  </cols>
  <sheetData>
    <row r="1" spans="1:5" s="18" customFormat="1" ht="30" x14ac:dyDescent="0.25">
      <c r="A1" s="34" t="s">
        <v>0</v>
      </c>
      <c r="B1" s="35" t="s">
        <v>57</v>
      </c>
      <c r="C1" s="35" t="s">
        <v>11</v>
      </c>
      <c r="D1" s="35" t="s">
        <v>12</v>
      </c>
      <c r="E1" s="35" t="s">
        <v>66</v>
      </c>
    </row>
    <row r="2" spans="1:5" x14ac:dyDescent="0.25">
      <c r="A2" s="36">
        <v>1945</v>
      </c>
      <c r="B2" s="14"/>
      <c r="C2" s="14"/>
    </row>
    <row r="3" spans="1:5" x14ac:dyDescent="0.25">
      <c r="A3" s="36">
        <v>1946</v>
      </c>
      <c r="B3" s="14"/>
    </row>
    <row r="4" spans="1:5" x14ac:dyDescent="0.25">
      <c r="A4" s="36">
        <v>1947</v>
      </c>
    </row>
    <row r="5" spans="1:5" x14ac:dyDescent="0.25">
      <c r="A5" s="36">
        <v>1948</v>
      </c>
    </row>
    <row r="6" spans="1:5" x14ac:dyDescent="0.25">
      <c r="A6" s="36">
        <v>1949</v>
      </c>
    </row>
    <row r="7" spans="1:5" x14ac:dyDescent="0.25">
      <c r="A7" s="36">
        <v>1950</v>
      </c>
      <c r="B7" s="14">
        <v>30.98</v>
      </c>
      <c r="C7" s="14">
        <v>0.73</v>
      </c>
      <c r="D7" s="14">
        <v>0</v>
      </c>
      <c r="E7" s="14">
        <f>SUM(B7:D7)</f>
        <v>31.71</v>
      </c>
    </row>
    <row r="8" spans="1:5" x14ac:dyDescent="0.25">
      <c r="A8" s="36">
        <v>1951</v>
      </c>
    </row>
    <row r="9" spans="1:5" x14ac:dyDescent="0.25">
      <c r="A9" s="36">
        <v>1952</v>
      </c>
    </row>
    <row r="10" spans="1:5" x14ac:dyDescent="0.25">
      <c r="A10" s="36">
        <v>1953</v>
      </c>
    </row>
    <row r="11" spans="1:5" x14ac:dyDescent="0.25">
      <c r="A11" s="36">
        <v>1954</v>
      </c>
    </row>
    <row r="12" spans="1:5" x14ac:dyDescent="0.25">
      <c r="A12" s="36">
        <v>1955</v>
      </c>
    </row>
    <row r="13" spans="1:5" x14ac:dyDescent="0.25">
      <c r="A13" s="36">
        <v>1956</v>
      </c>
    </row>
    <row r="14" spans="1:5" x14ac:dyDescent="0.25">
      <c r="A14" s="36">
        <v>1957</v>
      </c>
      <c r="D14" s="21"/>
    </row>
    <row r="15" spans="1:5" x14ac:dyDescent="0.25">
      <c r="A15" s="36">
        <v>1958</v>
      </c>
      <c r="B15" s="21"/>
    </row>
    <row r="16" spans="1:5" x14ac:dyDescent="0.25">
      <c r="A16" s="36">
        <v>1959</v>
      </c>
    </row>
    <row r="17" spans="1:10" x14ac:dyDescent="0.25">
      <c r="A17" s="36">
        <v>1960</v>
      </c>
      <c r="B17" s="12">
        <f>0.9*E17</f>
        <v>18.900000000000002</v>
      </c>
      <c r="C17" s="12">
        <f>0.04*E17</f>
        <v>0.84</v>
      </c>
      <c r="D17" s="12">
        <f>0.06*E17</f>
        <v>1.26</v>
      </c>
      <c r="E17" s="38">
        <v>21</v>
      </c>
    </row>
    <row r="18" spans="1:10" x14ac:dyDescent="0.25">
      <c r="A18" s="36">
        <v>1961</v>
      </c>
      <c r="E18" s="38"/>
    </row>
    <row r="19" spans="1:10" x14ac:dyDescent="0.25">
      <c r="A19" s="36">
        <v>1962</v>
      </c>
      <c r="E19" s="38"/>
    </row>
    <row r="20" spans="1:10" x14ac:dyDescent="0.25">
      <c r="A20" s="36">
        <v>1963</v>
      </c>
      <c r="B20" s="21"/>
      <c r="E20" s="38"/>
    </row>
    <row r="21" spans="1:10" x14ac:dyDescent="0.25">
      <c r="A21" s="36">
        <v>1964</v>
      </c>
      <c r="E21" s="38"/>
    </row>
    <row r="22" spans="1:10" x14ac:dyDescent="0.25">
      <c r="A22" s="36">
        <v>1965</v>
      </c>
      <c r="B22" s="12">
        <f>0.79*E22</f>
        <v>16.6295</v>
      </c>
      <c r="C22" s="12">
        <f>0.055*E22</f>
        <v>1.1577500000000001</v>
      </c>
      <c r="D22" s="12">
        <f>0.12*E22</f>
        <v>2.5259999999999998</v>
      </c>
      <c r="E22" s="38">
        <v>21.05</v>
      </c>
      <c r="J22" s="69"/>
    </row>
    <row r="23" spans="1:10" x14ac:dyDescent="0.25">
      <c r="A23" s="36">
        <v>1966</v>
      </c>
      <c r="E23" s="38"/>
    </row>
    <row r="24" spans="1:10" x14ac:dyDescent="0.25">
      <c r="A24" s="36">
        <v>1967</v>
      </c>
      <c r="B24" s="14"/>
      <c r="C24" s="14"/>
      <c r="D24" s="14"/>
      <c r="E24" s="38"/>
    </row>
    <row r="25" spans="1:10" x14ac:dyDescent="0.25">
      <c r="A25" s="36">
        <v>1968</v>
      </c>
      <c r="B25" s="21"/>
      <c r="C25" s="14"/>
      <c r="D25" s="14"/>
      <c r="E25" s="38"/>
    </row>
    <row r="26" spans="1:10" x14ac:dyDescent="0.25">
      <c r="A26" s="36">
        <v>1969</v>
      </c>
      <c r="E26" s="38"/>
    </row>
    <row r="27" spans="1:10" x14ac:dyDescent="0.25">
      <c r="A27" s="36">
        <v>1970</v>
      </c>
      <c r="B27" s="21">
        <f>0.79*E27</f>
        <v>15.721</v>
      </c>
      <c r="C27" s="21">
        <f>0.04*E27</f>
        <v>0.79599999999999993</v>
      </c>
      <c r="D27" s="21">
        <f>0.17*E27</f>
        <v>3.383</v>
      </c>
      <c r="E27" s="38">
        <v>19.899999999999999</v>
      </c>
    </row>
    <row r="28" spans="1:10" x14ac:dyDescent="0.25">
      <c r="A28" s="36">
        <v>1971</v>
      </c>
      <c r="B28" s="14"/>
      <c r="C28" s="14"/>
      <c r="D28" s="14"/>
      <c r="E28" s="38"/>
    </row>
    <row r="29" spans="1:10" x14ac:dyDescent="0.25">
      <c r="A29" s="36">
        <v>1972</v>
      </c>
      <c r="B29" s="21"/>
      <c r="C29" s="21"/>
      <c r="D29" s="21"/>
      <c r="E29" s="38"/>
    </row>
    <row r="30" spans="1:10" x14ac:dyDescent="0.25">
      <c r="A30" s="36">
        <v>1973</v>
      </c>
      <c r="B30" s="21"/>
      <c r="C30" s="21"/>
      <c r="D30" s="21"/>
      <c r="E30" s="38"/>
    </row>
    <row r="31" spans="1:10" x14ac:dyDescent="0.25">
      <c r="A31" s="36">
        <v>1974</v>
      </c>
      <c r="E31" s="38"/>
    </row>
    <row r="32" spans="1:10" x14ac:dyDescent="0.25">
      <c r="A32" s="36">
        <v>1975</v>
      </c>
      <c r="B32" s="21">
        <f>0.77*E32</f>
        <v>13.636700000000001</v>
      </c>
      <c r="C32" s="21">
        <f>0.04*E32</f>
        <v>0.70840000000000003</v>
      </c>
      <c r="D32" s="21">
        <f>0.18*E32</f>
        <v>3.1878000000000002</v>
      </c>
      <c r="E32" s="38">
        <v>17.71</v>
      </c>
      <c r="J32" s="69"/>
    </row>
    <row r="33" spans="1:10" x14ac:dyDescent="0.25">
      <c r="A33" s="36">
        <v>1976</v>
      </c>
      <c r="B33" s="21"/>
      <c r="C33" s="21"/>
      <c r="D33" s="21"/>
      <c r="E33" s="38"/>
    </row>
    <row r="34" spans="1:10" x14ac:dyDescent="0.25">
      <c r="A34" s="36">
        <v>1977</v>
      </c>
      <c r="B34" s="21"/>
      <c r="C34" s="21"/>
      <c r="D34" s="21"/>
      <c r="E34" s="38"/>
    </row>
    <row r="35" spans="1:10" x14ac:dyDescent="0.25">
      <c r="A35" s="36">
        <v>1978</v>
      </c>
      <c r="B35" s="21"/>
      <c r="C35" s="21"/>
      <c r="D35" s="21"/>
      <c r="E35" s="38"/>
    </row>
    <row r="36" spans="1:10" x14ac:dyDescent="0.25">
      <c r="A36" s="36">
        <v>1979</v>
      </c>
      <c r="E36" s="38"/>
    </row>
    <row r="37" spans="1:10" x14ac:dyDescent="0.25">
      <c r="A37" s="36">
        <v>1980</v>
      </c>
      <c r="B37" s="21">
        <f>0.68*E37</f>
        <v>10.376800000000001</v>
      </c>
      <c r="C37" s="21">
        <f>0.04*E37</f>
        <v>0.61040000000000005</v>
      </c>
      <c r="D37" s="21">
        <f>0.3*E37</f>
        <v>4.5779999999999994</v>
      </c>
      <c r="E37" s="38">
        <v>15.26</v>
      </c>
    </row>
    <row r="38" spans="1:10" x14ac:dyDescent="0.25">
      <c r="A38" s="36">
        <v>1981</v>
      </c>
      <c r="E38" s="38"/>
    </row>
    <row r="39" spans="1:10" x14ac:dyDescent="0.25">
      <c r="A39" s="36">
        <v>1982</v>
      </c>
      <c r="E39" s="38"/>
    </row>
    <row r="40" spans="1:10" x14ac:dyDescent="0.25">
      <c r="A40" s="36">
        <v>1983</v>
      </c>
      <c r="B40" s="21"/>
      <c r="C40" s="21"/>
      <c r="D40" s="21"/>
      <c r="E40" s="38"/>
    </row>
    <row r="41" spans="1:10" x14ac:dyDescent="0.25">
      <c r="A41" s="36">
        <v>1984</v>
      </c>
      <c r="E41" s="38"/>
      <c r="J41" s="69"/>
    </row>
    <row r="42" spans="1:10" x14ac:dyDescent="0.25">
      <c r="A42" s="36">
        <v>1985</v>
      </c>
      <c r="B42" s="21">
        <f>0.65*E42</f>
        <v>8.918000000000001</v>
      </c>
      <c r="C42" s="21">
        <f>0.04*E42</f>
        <v>0.54880000000000007</v>
      </c>
      <c r="D42" s="21">
        <f>0.3*E42</f>
        <v>4.1159999999999997</v>
      </c>
      <c r="E42" s="38">
        <v>13.72</v>
      </c>
    </row>
    <row r="43" spans="1:10" x14ac:dyDescent="0.25">
      <c r="A43" s="36">
        <v>1986</v>
      </c>
      <c r="B43" s="21"/>
      <c r="C43" s="21"/>
      <c r="D43" s="21"/>
      <c r="E43" s="38"/>
    </row>
    <row r="44" spans="1:10" x14ac:dyDescent="0.25">
      <c r="A44" s="36">
        <v>1987</v>
      </c>
      <c r="B44" s="21"/>
      <c r="C44" s="21"/>
      <c r="D44" s="21"/>
      <c r="E44" s="38"/>
    </row>
    <row r="45" spans="1:10" x14ac:dyDescent="0.25">
      <c r="A45" s="36">
        <v>1988</v>
      </c>
      <c r="B45" s="21">
        <f>0.65*E45</f>
        <v>8.1640000000000015</v>
      </c>
      <c r="C45" s="21">
        <f>0.04*E45</f>
        <v>0.50240000000000007</v>
      </c>
      <c r="D45" s="21">
        <f>0.3*E45</f>
        <v>3.7679999999999998</v>
      </c>
      <c r="E45" s="38">
        <v>12.56</v>
      </c>
    </row>
    <row r="46" spans="1:10" x14ac:dyDescent="0.25">
      <c r="A46" s="36">
        <v>1989</v>
      </c>
      <c r="B46" s="21"/>
      <c r="C46" s="21"/>
      <c r="D46" s="21"/>
      <c r="E46" s="38"/>
      <c r="F46" s="21"/>
    </row>
    <row r="47" spans="1:10" x14ac:dyDescent="0.25">
      <c r="A47" s="36">
        <v>1990</v>
      </c>
      <c r="B47" s="21"/>
      <c r="C47" s="21"/>
      <c r="D47" s="21"/>
      <c r="E47" s="38"/>
      <c r="F47" s="21"/>
    </row>
    <row r="48" spans="1:10" x14ac:dyDescent="0.25">
      <c r="A48" s="36">
        <v>1991</v>
      </c>
      <c r="B48" s="21"/>
      <c r="C48" s="21"/>
      <c r="D48" s="21"/>
      <c r="E48" s="38"/>
      <c r="F48" s="21"/>
    </row>
    <row r="49" spans="1:6" x14ac:dyDescent="0.25">
      <c r="A49" s="36">
        <v>1992</v>
      </c>
      <c r="B49" s="21"/>
      <c r="C49" s="21"/>
      <c r="D49" s="21"/>
      <c r="E49" s="21"/>
      <c r="F49" s="21"/>
    </row>
    <row r="50" spans="1:6" x14ac:dyDescent="0.25">
      <c r="A50" s="36">
        <v>1993</v>
      </c>
      <c r="B50" s="21"/>
      <c r="C50" s="21"/>
      <c r="E50" s="21"/>
      <c r="F50" s="21"/>
    </row>
    <row r="51" spans="1:6" x14ac:dyDescent="0.25">
      <c r="A51" s="36">
        <v>1994</v>
      </c>
      <c r="B51" s="14"/>
      <c r="C51" s="21"/>
      <c r="D51" s="21"/>
      <c r="E51" s="21"/>
      <c r="F51" s="21"/>
    </row>
    <row r="52" spans="1:6" x14ac:dyDescent="0.25">
      <c r="A52" s="36">
        <v>1995</v>
      </c>
      <c r="B52" s="21">
        <v>5.01</v>
      </c>
      <c r="C52" s="21">
        <v>1.48</v>
      </c>
      <c r="D52" s="21">
        <v>4.8</v>
      </c>
      <c r="E52" s="21">
        <v>11.3</v>
      </c>
      <c r="F52" s="21"/>
    </row>
    <row r="53" spans="1:6" x14ac:dyDescent="0.25">
      <c r="A53" s="36">
        <v>1996</v>
      </c>
      <c r="B53" s="21"/>
      <c r="C53" s="21"/>
      <c r="D53" s="21"/>
      <c r="E53" s="21"/>
      <c r="F53" s="21"/>
    </row>
    <row r="54" spans="1:6" x14ac:dyDescent="0.25">
      <c r="A54" s="36">
        <v>1997</v>
      </c>
      <c r="B54" s="21"/>
      <c r="C54" s="21"/>
      <c r="D54" s="21"/>
      <c r="E54" s="21"/>
      <c r="F54" s="21"/>
    </row>
    <row r="55" spans="1:6" x14ac:dyDescent="0.25">
      <c r="A55" s="36">
        <v>1998</v>
      </c>
      <c r="B55" s="21"/>
      <c r="C55" s="21"/>
      <c r="D55" s="21"/>
      <c r="E55" s="21"/>
      <c r="F55" s="21"/>
    </row>
    <row r="56" spans="1:6" x14ac:dyDescent="0.25">
      <c r="A56" s="36">
        <v>1999</v>
      </c>
      <c r="B56" s="21"/>
      <c r="C56" s="21"/>
      <c r="D56" s="21"/>
      <c r="E56" s="21"/>
      <c r="F56" s="21"/>
    </row>
    <row r="57" spans="1:6" x14ac:dyDescent="0.25">
      <c r="A57" s="36">
        <v>2000</v>
      </c>
      <c r="F57" s="21"/>
    </row>
    <row r="58" spans="1:6" x14ac:dyDescent="0.25">
      <c r="A58" s="36">
        <v>2001</v>
      </c>
    </row>
    <row r="59" spans="1:6" x14ac:dyDescent="0.25">
      <c r="A59" s="36">
        <v>2002</v>
      </c>
    </row>
    <row r="60" spans="1:6" x14ac:dyDescent="0.25">
      <c r="A60" s="36">
        <v>2003</v>
      </c>
    </row>
    <row r="61" spans="1:6" x14ac:dyDescent="0.25">
      <c r="A61" s="36">
        <v>2004</v>
      </c>
    </row>
    <row r="62" spans="1:6" x14ac:dyDescent="0.25">
      <c r="A62" s="36">
        <v>2005</v>
      </c>
    </row>
    <row r="63" spans="1:6" x14ac:dyDescent="0.25">
      <c r="A63" s="36">
        <v>2006</v>
      </c>
    </row>
    <row r="64" spans="1:6" x14ac:dyDescent="0.25">
      <c r="A64" s="36">
        <v>2007</v>
      </c>
      <c r="B64" s="21"/>
      <c r="C64" s="21"/>
      <c r="D64" s="21"/>
      <c r="E64" s="21"/>
    </row>
    <row r="65" spans="1:38" x14ac:dyDescent="0.25">
      <c r="A65" s="36">
        <v>2008</v>
      </c>
    </row>
    <row r="66" spans="1:38" x14ac:dyDescent="0.25">
      <c r="A66" s="36">
        <v>2009</v>
      </c>
      <c r="B66" s="21"/>
      <c r="C66" s="21"/>
      <c r="D66" s="21"/>
      <c r="E66" s="12"/>
    </row>
    <row r="67" spans="1:38" x14ac:dyDescent="0.25">
      <c r="A67" s="36">
        <v>2010</v>
      </c>
      <c r="B67" s="21">
        <v>2.1</v>
      </c>
      <c r="C67" s="21">
        <v>0.9</v>
      </c>
      <c r="D67" s="21">
        <v>6.1</v>
      </c>
      <c r="E67" s="14">
        <v>9.1</v>
      </c>
    </row>
    <row r="68" spans="1:38" x14ac:dyDescent="0.25">
      <c r="A68" s="36">
        <v>2011</v>
      </c>
    </row>
    <row r="69" spans="1:38" x14ac:dyDescent="0.25">
      <c r="A69" s="36">
        <v>2012</v>
      </c>
      <c r="B69" s="21"/>
      <c r="C69" s="21"/>
      <c r="D69" s="21"/>
    </row>
    <row r="70" spans="1:38" x14ac:dyDescent="0.25">
      <c r="A70" s="36">
        <v>2013</v>
      </c>
      <c r="B70" s="21"/>
      <c r="C70" s="21"/>
      <c r="D70" s="21"/>
    </row>
    <row r="71" spans="1:38" x14ac:dyDescent="0.25">
      <c r="A71" s="36">
        <v>2014</v>
      </c>
      <c r="B71" s="21"/>
      <c r="C71" s="21"/>
      <c r="D71" s="21"/>
    </row>
    <row r="72" spans="1:38" x14ac:dyDescent="0.25">
      <c r="A72" s="36">
        <v>2015</v>
      </c>
      <c r="B72" s="21"/>
      <c r="C72" s="21"/>
      <c r="D72" s="21"/>
    </row>
    <row r="73" spans="1:38" x14ac:dyDescent="0.25">
      <c r="A73" s="36">
        <v>2016</v>
      </c>
      <c r="B73" s="21"/>
      <c r="C73" s="21"/>
      <c r="D73" s="21"/>
    </row>
    <row r="74" spans="1:38" x14ac:dyDescent="0.25">
      <c r="A74" s="36">
        <v>2017</v>
      </c>
    </row>
    <row r="75" spans="1:38" x14ac:dyDescent="0.25">
      <c r="A75" s="36">
        <v>2018</v>
      </c>
    </row>
    <row r="76" spans="1:38" x14ac:dyDescent="0.25">
      <c r="A76" s="36">
        <v>2019</v>
      </c>
    </row>
    <row r="77" spans="1:38" x14ac:dyDescent="0.25">
      <c r="A77" s="36">
        <v>2020</v>
      </c>
      <c r="B77" s="21">
        <v>2.1</v>
      </c>
      <c r="C77" s="21">
        <v>0.9</v>
      </c>
      <c r="D77" s="21">
        <v>6.1</v>
      </c>
      <c r="E77" s="14">
        <v>9.1</v>
      </c>
    </row>
    <row r="78" spans="1:38" s="17" customFormat="1" x14ac:dyDescent="0.25">
      <c r="A78" s="36">
        <v>2021</v>
      </c>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row>
    <row r="79" spans="1:38" s="17" customFormat="1" x14ac:dyDescent="0.25">
      <c r="A79" s="36">
        <v>2022</v>
      </c>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row>
    <row r="80" spans="1:38" s="17" customFormat="1" x14ac:dyDescent="0.25">
      <c r="A80" s="36">
        <v>2023</v>
      </c>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row>
    <row r="87" spans="1:38" s="17" customFormat="1" x14ac:dyDescent="0.25">
      <c r="A87" s="16"/>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row>
    <row r="88" spans="1:38" s="17" customFormat="1" x14ac:dyDescent="0.25">
      <c r="A88" s="16"/>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80"/>
  <sheetViews>
    <sheetView topLeftCell="A31" workbookViewId="0">
      <selection activeCell="I69" sqref="I69"/>
    </sheetView>
  </sheetViews>
  <sheetFormatPr baseColWidth="10" defaultColWidth="9.140625" defaultRowHeight="15" x14ac:dyDescent="0.25"/>
  <cols>
    <col min="1" max="1" width="7" style="2" customWidth="1"/>
    <col min="2" max="2" width="17" customWidth="1"/>
    <col min="3" max="3" width="10.5703125" bestFit="1" customWidth="1"/>
  </cols>
  <sheetData>
    <row r="1" spans="1:3" x14ac:dyDescent="0.25">
      <c r="A1" s="9" t="s">
        <v>0</v>
      </c>
      <c r="B1" s="5" t="s">
        <v>13</v>
      </c>
    </row>
    <row r="2" spans="1:3" x14ac:dyDescent="0.25">
      <c r="A2" s="8">
        <v>1945</v>
      </c>
    </row>
    <row r="3" spans="1:3" x14ac:dyDescent="0.25">
      <c r="A3" s="8">
        <v>1946</v>
      </c>
    </row>
    <row r="4" spans="1:3" x14ac:dyDescent="0.25">
      <c r="A4" s="8">
        <v>1947</v>
      </c>
      <c r="B4" s="6">
        <v>8512</v>
      </c>
      <c r="C4" s="70"/>
    </row>
    <row r="5" spans="1:3" x14ac:dyDescent="0.25">
      <c r="A5" s="8">
        <v>1948</v>
      </c>
    </row>
    <row r="6" spans="1:3" x14ac:dyDescent="0.25">
      <c r="A6" s="8">
        <v>1949</v>
      </c>
    </row>
    <row r="7" spans="1:3" x14ac:dyDescent="0.25">
      <c r="A7" s="8">
        <v>1950</v>
      </c>
    </row>
    <row r="8" spans="1:3" x14ac:dyDescent="0.25">
      <c r="A8" s="8">
        <v>1951</v>
      </c>
    </row>
    <row r="9" spans="1:3" x14ac:dyDescent="0.25">
      <c r="A9" s="8">
        <v>1952</v>
      </c>
    </row>
    <row r="10" spans="1:3" x14ac:dyDescent="0.25">
      <c r="A10" s="8">
        <v>1953</v>
      </c>
    </row>
    <row r="11" spans="1:3" x14ac:dyDescent="0.25">
      <c r="A11" s="8">
        <v>1954</v>
      </c>
    </row>
    <row r="12" spans="1:3" x14ac:dyDescent="0.25">
      <c r="A12" s="8">
        <v>1955</v>
      </c>
    </row>
    <row r="13" spans="1:3" x14ac:dyDescent="0.25">
      <c r="A13" s="8">
        <v>1956</v>
      </c>
    </row>
    <row r="14" spans="1:3" x14ac:dyDescent="0.25">
      <c r="A14" s="8">
        <v>1957</v>
      </c>
    </row>
    <row r="15" spans="1:3" x14ac:dyDescent="0.25">
      <c r="A15" s="8">
        <v>1958</v>
      </c>
    </row>
    <row r="16" spans="1:3" x14ac:dyDescent="0.25">
      <c r="A16" s="8">
        <v>1959</v>
      </c>
    </row>
    <row r="17" spans="1:2" x14ac:dyDescent="0.25">
      <c r="A17" s="8">
        <v>1960</v>
      </c>
      <c r="B17" s="6">
        <v>9153</v>
      </c>
    </row>
    <row r="18" spans="1:2" x14ac:dyDescent="0.25">
      <c r="A18" s="8">
        <v>1961</v>
      </c>
      <c r="B18" s="6">
        <v>9184</v>
      </c>
    </row>
    <row r="19" spans="1:2" x14ac:dyDescent="0.25">
      <c r="A19" s="8">
        <v>1962</v>
      </c>
      <c r="B19" s="6">
        <v>9221</v>
      </c>
    </row>
    <row r="20" spans="1:2" x14ac:dyDescent="0.25">
      <c r="A20" s="8">
        <v>1963</v>
      </c>
      <c r="B20" s="6">
        <v>9290</v>
      </c>
    </row>
    <row r="21" spans="1:2" x14ac:dyDescent="0.25">
      <c r="A21" s="8">
        <v>1964</v>
      </c>
      <c r="B21" s="6">
        <v>9378</v>
      </c>
    </row>
    <row r="22" spans="1:2" x14ac:dyDescent="0.25">
      <c r="A22" s="8">
        <v>1965</v>
      </c>
      <c r="B22" s="6">
        <v>9464</v>
      </c>
    </row>
    <row r="23" spans="1:2" x14ac:dyDescent="0.25">
      <c r="A23" s="8">
        <v>1966</v>
      </c>
      <c r="B23" s="6">
        <v>9528</v>
      </c>
    </row>
    <row r="24" spans="1:2" x14ac:dyDescent="0.25">
      <c r="A24" s="8">
        <v>1967</v>
      </c>
      <c r="B24" s="6">
        <v>9581</v>
      </c>
    </row>
    <row r="25" spans="1:2" x14ac:dyDescent="0.25">
      <c r="A25" s="8">
        <v>1968</v>
      </c>
      <c r="B25" s="6">
        <v>9619</v>
      </c>
    </row>
    <row r="26" spans="1:2" x14ac:dyDescent="0.25">
      <c r="A26" s="8">
        <v>1969</v>
      </c>
      <c r="B26" s="6">
        <v>9646</v>
      </c>
    </row>
    <row r="27" spans="1:2" x14ac:dyDescent="0.25">
      <c r="A27" s="8">
        <v>1970</v>
      </c>
      <c r="B27" s="6">
        <v>9656</v>
      </c>
    </row>
    <row r="28" spans="1:2" x14ac:dyDescent="0.25">
      <c r="A28" s="8">
        <v>1971</v>
      </c>
      <c r="B28" s="6">
        <v>9673</v>
      </c>
    </row>
    <row r="29" spans="1:2" x14ac:dyDescent="0.25">
      <c r="A29" s="8">
        <v>1972</v>
      </c>
      <c r="B29" s="6">
        <v>9711</v>
      </c>
    </row>
    <row r="30" spans="1:2" x14ac:dyDescent="0.25">
      <c r="A30" s="8">
        <v>1973</v>
      </c>
      <c r="B30" s="6">
        <v>9742</v>
      </c>
    </row>
    <row r="31" spans="1:2" x14ac:dyDescent="0.25">
      <c r="A31" s="8">
        <v>1974</v>
      </c>
      <c r="B31" s="6">
        <v>9772</v>
      </c>
    </row>
    <row r="32" spans="1:2" x14ac:dyDescent="0.25">
      <c r="A32" s="8">
        <v>1975</v>
      </c>
      <c r="B32" s="6">
        <v>9801</v>
      </c>
    </row>
    <row r="33" spans="1:2" x14ac:dyDescent="0.25">
      <c r="A33" s="8">
        <v>1976</v>
      </c>
      <c r="B33" s="6">
        <v>9818</v>
      </c>
    </row>
    <row r="34" spans="1:2" x14ac:dyDescent="0.25">
      <c r="A34" s="8">
        <v>1977</v>
      </c>
      <c r="B34" s="6">
        <v>9830</v>
      </c>
    </row>
    <row r="35" spans="1:2" x14ac:dyDescent="0.25">
      <c r="A35" s="8">
        <v>1978</v>
      </c>
      <c r="B35" s="6">
        <v>9840</v>
      </c>
    </row>
    <row r="36" spans="1:2" x14ac:dyDescent="0.25">
      <c r="A36" s="8">
        <v>1979</v>
      </c>
      <c r="B36" s="6">
        <v>9848</v>
      </c>
    </row>
    <row r="37" spans="1:2" x14ac:dyDescent="0.25">
      <c r="A37" s="8">
        <v>1980</v>
      </c>
      <c r="B37" s="6">
        <v>9859</v>
      </c>
    </row>
    <row r="38" spans="1:2" x14ac:dyDescent="0.25">
      <c r="A38" s="8">
        <v>1981</v>
      </c>
      <c r="B38" s="6">
        <v>9859</v>
      </c>
    </row>
    <row r="39" spans="1:2" x14ac:dyDescent="0.25">
      <c r="A39" s="8">
        <v>1982</v>
      </c>
      <c r="B39" s="6">
        <v>9856</v>
      </c>
    </row>
    <row r="40" spans="1:2" x14ac:dyDescent="0.25">
      <c r="A40" s="8">
        <v>1983</v>
      </c>
      <c r="B40" s="6">
        <v>9856</v>
      </c>
    </row>
    <row r="41" spans="1:2" x14ac:dyDescent="0.25">
      <c r="A41" s="8">
        <v>1984</v>
      </c>
      <c r="B41" s="6">
        <v>9855</v>
      </c>
    </row>
    <row r="42" spans="1:2" x14ac:dyDescent="0.25">
      <c r="A42" s="8">
        <v>1985</v>
      </c>
      <c r="B42" s="6">
        <v>9858</v>
      </c>
    </row>
    <row r="43" spans="1:2" x14ac:dyDescent="0.25">
      <c r="A43" s="8">
        <v>1986</v>
      </c>
      <c r="B43" s="6">
        <v>9862</v>
      </c>
    </row>
    <row r="44" spans="1:2" x14ac:dyDescent="0.25">
      <c r="A44" s="8">
        <v>1987</v>
      </c>
      <c r="B44" s="6">
        <v>9870</v>
      </c>
    </row>
    <row r="45" spans="1:2" x14ac:dyDescent="0.25">
      <c r="A45" s="8">
        <v>1988</v>
      </c>
      <c r="B45" s="6">
        <v>9902</v>
      </c>
    </row>
    <row r="46" spans="1:2" x14ac:dyDescent="0.25">
      <c r="A46" s="8">
        <v>1989</v>
      </c>
      <c r="B46" s="6">
        <v>9938</v>
      </c>
    </row>
    <row r="47" spans="1:2" x14ac:dyDescent="0.25">
      <c r="A47" s="8">
        <v>1990</v>
      </c>
      <c r="B47" s="6">
        <v>9967</v>
      </c>
    </row>
    <row r="48" spans="1:2" x14ac:dyDescent="0.25">
      <c r="A48" s="8">
        <v>1991</v>
      </c>
      <c r="B48" s="6">
        <v>10004</v>
      </c>
    </row>
    <row r="49" spans="1:2" x14ac:dyDescent="0.25">
      <c r="A49" s="8">
        <v>1992</v>
      </c>
      <c r="B49" s="6">
        <v>10045</v>
      </c>
    </row>
    <row r="50" spans="1:2" x14ac:dyDescent="0.25">
      <c r="A50" s="8">
        <v>1993</v>
      </c>
      <c r="B50" s="6">
        <v>10084</v>
      </c>
    </row>
    <row r="51" spans="1:2" x14ac:dyDescent="0.25">
      <c r="A51" s="8">
        <v>1994</v>
      </c>
      <c r="B51" s="6">
        <v>10116</v>
      </c>
    </row>
    <row r="52" spans="1:2" x14ac:dyDescent="0.25">
      <c r="A52" s="8">
        <v>1995</v>
      </c>
      <c r="B52" s="6">
        <v>10137</v>
      </c>
    </row>
    <row r="53" spans="1:2" x14ac:dyDescent="0.25">
      <c r="A53" s="8">
        <v>1996</v>
      </c>
      <c r="B53" s="6">
        <v>10157</v>
      </c>
    </row>
    <row r="54" spans="1:2" x14ac:dyDescent="0.25">
      <c r="A54" s="8">
        <v>1997</v>
      </c>
      <c r="B54" s="6">
        <v>10181</v>
      </c>
    </row>
    <row r="55" spans="1:2" x14ac:dyDescent="0.25">
      <c r="A55" s="8">
        <v>1998</v>
      </c>
      <c r="B55" s="6">
        <v>10203</v>
      </c>
    </row>
    <row r="56" spans="1:2" x14ac:dyDescent="0.25">
      <c r="A56" s="8">
        <v>1999</v>
      </c>
      <c r="B56" s="6">
        <v>10226</v>
      </c>
    </row>
    <row r="57" spans="1:2" x14ac:dyDescent="0.25">
      <c r="A57" s="8">
        <v>2000</v>
      </c>
      <c r="B57" s="6">
        <v>10251</v>
      </c>
    </row>
    <row r="58" spans="1:2" x14ac:dyDescent="0.25">
      <c r="A58" s="8">
        <v>2001</v>
      </c>
      <c r="B58" s="6">
        <v>10287</v>
      </c>
    </row>
    <row r="59" spans="1:2" x14ac:dyDescent="0.25">
      <c r="A59" s="8">
        <v>2002</v>
      </c>
      <c r="B59" s="6">
        <v>10333</v>
      </c>
    </row>
    <row r="60" spans="1:2" x14ac:dyDescent="0.25">
      <c r="A60" s="8">
        <v>2003</v>
      </c>
      <c r="B60" s="6">
        <v>10376</v>
      </c>
    </row>
    <row r="61" spans="1:2" x14ac:dyDescent="0.25">
      <c r="A61" s="8">
        <v>2004</v>
      </c>
      <c r="B61" s="6">
        <v>10421</v>
      </c>
    </row>
    <row r="62" spans="1:2" x14ac:dyDescent="0.25">
      <c r="A62" s="8">
        <v>2005</v>
      </c>
      <c r="B62" s="6">
        <v>10479</v>
      </c>
    </row>
    <row r="63" spans="1:2" x14ac:dyDescent="0.25">
      <c r="A63" s="8">
        <v>2006</v>
      </c>
      <c r="B63" s="6">
        <v>10548</v>
      </c>
    </row>
    <row r="64" spans="1:2" x14ac:dyDescent="0.25">
      <c r="A64" s="8">
        <v>2007</v>
      </c>
      <c r="B64" s="6">
        <v>10626</v>
      </c>
    </row>
    <row r="65" spans="1:3" x14ac:dyDescent="0.25">
      <c r="A65" s="8">
        <v>2008</v>
      </c>
      <c r="B65" s="6">
        <v>10710</v>
      </c>
    </row>
    <row r="66" spans="1:3" x14ac:dyDescent="0.25">
      <c r="A66" s="8">
        <v>2009</v>
      </c>
      <c r="B66" s="6">
        <v>10796</v>
      </c>
    </row>
    <row r="67" spans="1:3" x14ac:dyDescent="0.25">
      <c r="A67" s="8">
        <v>2010</v>
      </c>
      <c r="B67" s="6">
        <v>10896</v>
      </c>
    </row>
    <row r="68" spans="1:3" x14ac:dyDescent="0.25">
      <c r="A68" s="8">
        <v>2011</v>
      </c>
      <c r="B68" s="6">
        <v>10994</v>
      </c>
    </row>
    <row r="69" spans="1:3" x14ac:dyDescent="0.25">
      <c r="A69" s="8">
        <v>2012</v>
      </c>
      <c r="B69" s="6">
        <v>11068</v>
      </c>
    </row>
    <row r="70" spans="1:3" x14ac:dyDescent="0.25">
      <c r="A70" s="8">
        <v>2013</v>
      </c>
      <c r="B70" s="6">
        <v>11125</v>
      </c>
    </row>
    <row r="71" spans="1:3" x14ac:dyDescent="0.25">
      <c r="A71" s="8">
        <v>2014</v>
      </c>
      <c r="B71" s="6">
        <v>11180</v>
      </c>
    </row>
    <row r="72" spans="1:3" x14ac:dyDescent="0.25">
      <c r="A72" s="8">
        <v>2015</v>
      </c>
      <c r="B72" s="6">
        <v>11238</v>
      </c>
    </row>
    <row r="73" spans="1:3" x14ac:dyDescent="0.25">
      <c r="A73" s="8">
        <v>2016</v>
      </c>
      <c r="B73" s="6">
        <v>11295</v>
      </c>
    </row>
    <row r="74" spans="1:3" x14ac:dyDescent="0.25">
      <c r="A74" s="8">
        <v>2017</v>
      </c>
      <c r="B74" s="6">
        <v>11349</v>
      </c>
    </row>
    <row r="75" spans="1:3" x14ac:dyDescent="0.25">
      <c r="A75" s="8">
        <v>2018</v>
      </c>
      <c r="B75" s="6">
        <v>11404</v>
      </c>
    </row>
    <row r="76" spans="1:3" x14ac:dyDescent="0.25">
      <c r="A76" s="8">
        <v>2019</v>
      </c>
      <c r="B76" s="6">
        <v>11481</v>
      </c>
      <c r="C76" s="71"/>
    </row>
    <row r="77" spans="1:3" x14ac:dyDescent="0.25">
      <c r="A77" s="8">
        <v>2020</v>
      </c>
      <c r="B77" s="72">
        <v>11493</v>
      </c>
    </row>
    <row r="78" spans="1:3" x14ac:dyDescent="0.25">
      <c r="A78" s="8">
        <v>2021</v>
      </c>
      <c r="B78" s="72">
        <v>11507</v>
      </c>
    </row>
    <row r="79" spans="1:3" x14ac:dyDescent="0.25">
      <c r="A79" s="8">
        <v>2022</v>
      </c>
      <c r="B79" s="72">
        <v>11569</v>
      </c>
    </row>
    <row r="80" spans="1:3" x14ac:dyDescent="0.25">
      <c r="A80" s="8">
        <v>2023</v>
      </c>
      <c r="B80" s="72">
        <v>11681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25</vt:i4>
      </vt:variant>
    </vt:vector>
  </HeadingPairs>
  <TitlesOfParts>
    <vt:vector size="25" baseType="lpstr">
      <vt:lpstr>CoverSheet</vt:lpstr>
      <vt:lpstr>References</vt:lpstr>
      <vt:lpstr>Stock_EU</vt:lpstr>
      <vt:lpstr>Prod_EU</vt:lpstr>
      <vt:lpstr>Import_EU</vt:lpstr>
      <vt:lpstr>Export_EU</vt:lpstr>
      <vt:lpstr>Thickness_EU</vt:lpstr>
      <vt:lpstr>CO2Emissions_EU</vt:lpstr>
      <vt:lpstr>Energy_Intensity_EU</vt:lpstr>
      <vt:lpstr>Consumption_FR</vt:lpstr>
      <vt:lpstr>Prod_FR</vt:lpstr>
      <vt:lpstr>Import_FR</vt:lpstr>
      <vt:lpstr>Export_FR</vt:lpstr>
      <vt:lpstr>Population_FR</vt:lpstr>
      <vt:lpstr>Thickness_FR</vt:lpstr>
      <vt:lpstr>RawMat_Intensity_FR</vt:lpstr>
      <vt:lpstr>Energy_Intensity_FR</vt:lpstr>
      <vt:lpstr>CO2Emissions_FR</vt:lpstr>
      <vt:lpstr>Consumption_BE</vt:lpstr>
      <vt:lpstr>Prod_BE</vt:lpstr>
      <vt:lpstr>Import_BE</vt:lpstr>
      <vt:lpstr>Export_BE</vt:lpstr>
      <vt:lpstr>Thickness_BE</vt:lpstr>
      <vt:lpstr>Energy_Intensity_BE</vt:lpstr>
      <vt:lpstr>Population_BE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dc:creator>
  <cp:lastModifiedBy>jean</cp:lastModifiedBy>
  <cp:lastPrinted>2021-06-21T09:42:35Z</cp:lastPrinted>
  <dcterms:created xsi:type="dcterms:W3CDTF">2020-05-20T17:08:53Z</dcterms:created>
  <dcterms:modified xsi:type="dcterms:W3CDTF">2024-12-17T15:39:39Z</dcterms:modified>
</cp:coreProperties>
</file>